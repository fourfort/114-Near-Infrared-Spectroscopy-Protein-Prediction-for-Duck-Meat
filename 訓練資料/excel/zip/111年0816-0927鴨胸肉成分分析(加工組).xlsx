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12" windowWidth="23256" windowHeight="9516" activeTab="2"/>
  </bookViews>
  <sheets>
    <sheet name="水分&amp;灰分" sheetId="3" r:id="rId1"/>
    <sheet name="粗脂肪" sheetId="1" r:id="rId2"/>
    <sheet name="依分析日期彙整之總表" sheetId="5" r:id="rId3"/>
    <sheet name="工作表1" sheetId="4" r:id="rId4"/>
  </sheets>
  <calcPr calcId="145621"/>
</workbook>
</file>

<file path=xl/calcChain.xml><?xml version="1.0" encoding="utf-8"?>
<calcChain xmlns="http://schemas.openxmlformats.org/spreadsheetml/2006/main">
  <c r="G68" i="1" l="1"/>
  <c r="G67" i="1"/>
  <c r="G66" i="1"/>
  <c r="G65" i="1"/>
  <c r="G64" i="1"/>
  <c r="G58" i="1"/>
  <c r="G57" i="1"/>
  <c r="G56" i="1"/>
  <c r="G55" i="1"/>
  <c r="G54" i="1"/>
  <c r="G53" i="1"/>
  <c r="G52" i="1"/>
  <c r="G51" i="1"/>
  <c r="G50" i="1"/>
  <c r="G49" i="1"/>
  <c r="G43" i="1"/>
  <c r="G42" i="1"/>
  <c r="G41" i="1"/>
  <c r="G40" i="1"/>
  <c r="G39" i="1"/>
  <c r="G38" i="1"/>
  <c r="G37" i="1"/>
  <c r="G36" i="1"/>
  <c r="G35" i="1"/>
  <c r="G34" i="1"/>
  <c r="G28" i="1"/>
  <c r="G27" i="1"/>
  <c r="G26" i="1"/>
  <c r="G25" i="1"/>
  <c r="G24" i="1"/>
  <c r="G23" i="1"/>
  <c r="G22" i="1"/>
  <c r="G21" i="1"/>
  <c r="G20" i="1"/>
  <c r="G19" i="1"/>
  <c r="G13" i="1"/>
  <c r="G12" i="1"/>
  <c r="G11" i="1"/>
  <c r="G10" i="1"/>
  <c r="G9" i="1"/>
  <c r="G8" i="1"/>
  <c r="G7" i="1"/>
  <c r="G6" i="1"/>
  <c r="G5" i="1"/>
  <c r="G4" i="1"/>
  <c r="I13" i="3"/>
  <c r="I12" i="3"/>
  <c r="I11" i="3"/>
  <c r="I10" i="3"/>
  <c r="I9" i="3"/>
  <c r="I8" i="3"/>
  <c r="I7" i="3"/>
  <c r="I6" i="3"/>
  <c r="I5" i="3"/>
  <c r="I4" i="3"/>
  <c r="I27" i="3"/>
  <c r="I26" i="3"/>
  <c r="I25" i="3"/>
  <c r="I24" i="3"/>
  <c r="I23" i="3"/>
  <c r="I22" i="3"/>
  <c r="I21" i="3"/>
  <c r="I20" i="3"/>
  <c r="I19" i="3"/>
  <c r="I18" i="3"/>
  <c r="I41" i="3"/>
  <c r="I40" i="3"/>
  <c r="I39" i="3"/>
  <c r="I38" i="3"/>
  <c r="I37" i="3"/>
  <c r="I36" i="3"/>
  <c r="I35" i="3"/>
  <c r="I34" i="3"/>
  <c r="I33" i="3"/>
  <c r="I32" i="3"/>
  <c r="I64" i="3"/>
  <c r="I63" i="3"/>
  <c r="I62" i="3"/>
  <c r="I61" i="3"/>
  <c r="I60" i="3"/>
  <c r="I47" i="3"/>
  <c r="I48" i="3"/>
  <c r="I49" i="3"/>
  <c r="I50" i="3"/>
  <c r="I51" i="3"/>
  <c r="I52" i="3"/>
  <c r="I53" i="3"/>
  <c r="I54" i="3"/>
  <c r="I55" i="3"/>
  <c r="I46" i="3"/>
  <c r="E69" i="1" l="1"/>
  <c r="T4" i="4"/>
  <c r="T7" i="4"/>
  <c r="T10" i="4"/>
  <c r="T13" i="4"/>
  <c r="T16" i="4"/>
  <c r="R4" i="4"/>
  <c r="R7" i="4"/>
  <c r="R10" i="4"/>
  <c r="R13" i="4"/>
  <c r="R16" i="4"/>
  <c r="G64" i="3"/>
  <c r="E64" i="3"/>
  <c r="E63" i="3"/>
  <c r="G63" i="3" s="1"/>
  <c r="E62" i="3"/>
  <c r="G62" i="3" s="1"/>
  <c r="E61" i="3"/>
  <c r="G61" i="3" s="1"/>
  <c r="E60" i="3"/>
  <c r="G60" i="3" s="1"/>
  <c r="L4" i="4"/>
  <c r="L7" i="4"/>
  <c r="L10" i="4"/>
  <c r="L13" i="4"/>
  <c r="L16" i="4"/>
  <c r="T3" i="4"/>
  <c r="T6" i="4"/>
  <c r="T9" i="4"/>
  <c r="T12" i="4"/>
  <c r="T15" i="4"/>
  <c r="J4" i="4"/>
  <c r="J7" i="4"/>
  <c r="J10" i="4"/>
  <c r="J13" i="4"/>
  <c r="J16" i="4"/>
  <c r="R3" i="4"/>
  <c r="R6" i="4"/>
  <c r="R9" i="4"/>
  <c r="R12" i="4"/>
  <c r="R15" i="4"/>
  <c r="G55" i="3"/>
  <c r="E55" i="3"/>
  <c r="E54" i="3"/>
  <c r="G54" i="3" s="1"/>
  <c r="E53" i="3"/>
  <c r="G53" i="3" s="1"/>
  <c r="E52" i="3"/>
  <c r="G52" i="3" s="1"/>
  <c r="G51" i="3"/>
  <c r="E51" i="3"/>
  <c r="E50" i="3"/>
  <c r="G50" i="3" s="1"/>
  <c r="G49" i="3"/>
  <c r="E49" i="3"/>
  <c r="E48" i="3"/>
  <c r="G48" i="3" s="1"/>
  <c r="G47" i="3"/>
  <c r="E47" i="3"/>
  <c r="E46" i="3"/>
  <c r="G46" i="3" s="1"/>
  <c r="V4" i="4" l="1"/>
  <c r="V7" i="4"/>
  <c r="V13" i="4"/>
  <c r="V16" i="4"/>
  <c r="E68" i="1"/>
  <c r="E67" i="1"/>
  <c r="V10" i="4"/>
  <c r="E66" i="1"/>
  <c r="E65" i="1"/>
  <c r="E64" i="1"/>
  <c r="N4" i="4"/>
  <c r="N16" i="4"/>
  <c r="V9" i="4"/>
  <c r="V12" i="4"/>
  <c r="V15" i="4"/>
  <c r="E59" i="1"/>
  <c r="E58" i="1"/>
  <c r="E57" i="1"/>
  <c r="E56" i="1"/>
  <c r="V6" i="4"/>
  <c r="E55" i="1"/>
  <c r="V3" i="4"/>
  <c r="E54" i="1"/>
  <c r="E53" i="1"/>
  <c r="E52" i="1"/>
  <c r="N10" i="4"/>
  <c r="E51" i="1"/>
  <c r="E50" i="1"/>
  <c r="E49" i="1"/>
  <c r="W14" i="4" l="1"/>
  <c r="U14" i="4"/>
  <c r="S14" i="4"/>
  <c r="W11" i="4"/>
  <c r="U11" i="4"/>
  <c r="S11" i="4"/>
  <c r="W8" i="4"/>
  <c r="U8" i="4"/>
  <c r="S8" i="4"/>
  <c r="W5" i="4"/>
  <c r="U5" i="4"/>
  <c r="S5" i="4"/>
  <c r="W2" i="4"/>
  <c r="U2" i="4"/>
  <c r="S2" i="4"/>
  <c r="O14" i="4"/>
  <c r="M14" i="4"/>
  <c r="K14" i="4"/>
  <c r="O11" i="4"/>
  <c r="M11" i="4"/>
  <c r="K11" i="4"/>
  <c r="O8" i="4"/>
  <c r="M8" i="4"/>
  <c r="K8" i="4"/>
  <c r="O5" i="4"/>
  <c r="M5" i="4"/>
  <c r="K5" i="4"/>
  <c r="O2" i="4"/>
  <c r="M2" i="4"/>
  <c r="K2" i="4"/>
  <c r="G5" i="4"/>
  <c r="G8" i="4"/>
  <c r="G11" i="4"/>
  <c r="G14" i="4"/>
  <c r="G2" i="4"/>
  <c r="E5" i="4"/>
  <c r="E8" i="4"/>
  <c r="E11" i="4"/>
  <c r="E14" i="4"/>
  <c r="E2" i="4"/>
  <c r="C5" i="4"/>
  <c r="C8" i="4"/>
  <c r="C11" i="4"/>
  <c r="C14" i="4"/>
  <c r="C2" i="4"/>
  <c r="E43" i="1"/>
  <c r="E44" i="1"/>
  <c r="E42" i="1"/>
  <c r="E41" i="3"/>
  <c r="G41" i="3" s="1"/>
  <c r="G40" i="3"/>
  <c r="E40" i="3"/>
  <c r="E39" i="3"/>
  <c r="G39" i="3" s="1"/>
  <c r="E38" i="3"/>
  <c r="G38" i="3" s="1"/>
  <c r="E37" i="3"/>
  <c r="G37" i="3" s="1"/>
  <c r="E36" i="3"/>
  <c r="G36" i="3" s="1"/>
  <c r="E35" i="3"/>
  <c r="G35" i="3" s="1"/>
  <c r="E34" i="3"/>
  <c r="G34" i="3" s="1"/>
  <c r="E33" i="3"/>
  <c r="G33" i="3" s="1"/>
  <c r="E32" i="3"/>
  <c r="G32" i="3" s="1"/>
  <c r="E29" i="1" l="1"/>
  <c r="E27" i="3"/>
  <c r="G27" i="3" s="1"/>
  <c r="G26" i="3"/>
  <c r="E26" i="3"/>
  <c r="E25" i="3"/>
  <c r="G25" i="3" s="1"/>
  <c r="E24" i="3"/>
  <c r="G24" i="3" s="1"/>
  <c r="E23" i="3"/>
  <c r="G23" i="3" s="1"/>
  <c r="E22" i="3"/>
  <c r="G22" i="3" s="1"/>
  <c r="E21" i="3"/>
  <c r="G21" i="3" s="1"/>
  <c r="E20" i="3"/>
  <c r="G20" i="3" s="1"/>
  <c r="E19" i="3"/>
  <c r="G19" i="3" s="1"/>
  <c r="G18" i="3"/>
  <c r="E18" i="3"/>
  <c r="G12" i="3" l="1"/>
  <c r="G13" i="3"/>
  <c r="E13" i="3"/>
  <c r="E12" i="3"/>
  <c r="E14" i="1"/>
  <c r="E4" i="1"/>
  <c r="E11" i="3" l="1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G4" i="3" l="1"/>
  <c r="E41" i="1" l="1"/>
  <c r="E40" i="1"/>
  <c r="E39" i="1"/>
  <c r="E38" i="1"/>
  <c r="E37" i="1"/>
  <c r="E36" i="1"/>
  <c r="E35" i="1"/>
  <c r="E34" i="1"/>
  <c r="E28" i="1"/>
  <c r="E27" i="1"/>
  <c r="E26" i="1"/>
  <c r="E25" i="1"/>
  <c r="E24" i="1"/>
  <c r="E23" i="1"/>
  <c r="E22" i="1"/>
  <c r="E21" i="1"/>
  <c r="E20" i="1"/>
  <c r="E19" i="1"/>
  <c r="E8" i="1"/>
  <c r="E5" i="1"/>
  <c r="E6" i="1"/>
  <c r="E7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<sst xmlns="http://schemas.openxmlformats.org/spreadsheetml/2006/main" count="299" uniqueCount="164">
  <si>
    <t>樣品重量(g)</t>
    <phoneticPr fontId="1" type="noConversion"/>
  </si>
  <si>
    <t>粗脂肪</t>
    <phoneticPr fontId="1" type="noConversion"/>
  </si>
  <si>
    <t>脂肪瓶編號</t>
    <phoneticPr fontId="1" type="noConversion"/>
  </si>
  <si>
    <t>脂肪瓶重量(g)</t>
    <phoneticPr fontId="1" type="noConversion"/>
  </si>
  <si>
    <t>萃取乾燥後脂肪瓶+脂肪重量(g)</t>
    <phoneticPr fontId="1" type="noConversion"/>
  </si>
  <si>
    <t>粗脂肪%</t>
    <phoneticPr fontId="1" type="noConversion"/>
  </si>
  <si>
    <t>脂肪瓶+樣品重量(g)</t>
    <phoneticPr fontId="1" type="noConversion"/>
  </si>
  <si>
    <t>樣品編號</t>
    <phoneticPr fontId="1" type="noConversion"/>
  </si>
  <si>
    <t>水分</t>
    <phoneticPr fontId="1" type="noConversion"/>
  </si>
  <si>
    <t>坩鍋編號</t>
    <phoneticPr fontId="1" type="noConversion"/>
  </si>
  <si>
    <t>坩鍋重量(g)</t>
    <phoneticPr fontId="1" type="noConversion"/>
  </si>
  <si>
    <t>樣品重量(g)</t>
    <phoneticPr fontId="1" type="noConversion"/>
  </si>
  <si>
    <t>坩鍋+樣品重量(g)</t>
    <phoneticPr fontId="1" type="noConversion"/>
  </si>
  <si>
    <t>烘乾後坩鍋+樣品重量(g)</t>
    <phoneticPr fontId="1" type="noConversion"/>
  </si>
  <si>
    <t>水分%</t>
    <phoneticPr fontId="1" type="noConversion"/>
  </si>
  <si>
    <t>灰化後坩鍋+樣品重量(g)</t>
    <phoneticPr fontId="1" type="noConversion"/>
  </si>
  <si>
    <t>灰分%</t>
    <phoneticPr fontId="1" type="noConversion"/>
  </si>
  <si>
    <t>空白</t>
    <phoneticPr fontId="1" type="noConversion"/>
  </si>
  <si>
    <t>A1-1</t>
    <phoneticPr fontId="1" type="noConversion"/>
  </si>
  <si>
    <t>A1-2</t>
    <phoneticPr fontId="1" type="noConversion"/>
  </si>
  <si>
    <t>B1-1</t>
    <phoneticPr fontId="1" type="noConversion"/>
  </si>
  <si>
    <t>B1-2</t>
    <phoneticPr fontId="1" type="noConversion"/>
  </si>
  <si>
    <t>C1-1</t>
    <phoneticPr fontId="1" type="noConversion"/>
  </si>
  <si>
    <t>C1-2</t>
    <phoneticPr fontId="1" type="noConversion"/>
  </si>
  <si>
    <t>D1-1</t>
    <phoneticPr fontId="1" type="noConversion"/>
  </si>
  <si>
    <t>D1-2</t>
    <phoneticPr fontId="1" type="noConversion"/>
  </si>
  <si>
    <t>E1-1</t>
    <phoneticPr fontId="1" type="noConversion"/>
  </si>
  <si>
    <t>E1-2</t>
    <phoneticPr fontId="1" type="noConversion"/>
  </si>
  <si>
    <t>D1-3</t>
    <phoneticPr fontId="1" type="noConversion"/>
  </si>
  <si>
    <t>E2-1</t>
    <phoneticPr fontId="1" type="noConversion"/>
  </si>
  <si>
    <t>A2-2</t>
    <phoneticPr fontId="1" type="noConversion"/>
  </si>
  <si>
    <t>C2-2</t>
    <phoneticPr fontId="1" type="noConversion"/>
  </si>
  <si>
    <t>E2-2</t>
    <phoneticPr fontId="1" type="noConversion"/>
  </si>
  <si>
    <t>A3-1</t>
    <phoneticPr fontId="1" type="noConversion"/>
  </si>
  <si>
    <t>B3-1</t>
    <phoneticPr fontId="1" type="noConversion"/>
  </si>
  <si>
    <t>C3-1</t>
    <phoneticPr fontId="1" type="noConversion"/>
  </si>
  <si>
    <t>E3-1</t>
    <phoneticPr fontId="1" type="noConversion"/>
  </si>
  <si>
    <t>A1-3</t>
    <phoneticPr fontId="1" type="noConversion"/>
  </si>
  <si>
    <t>A2-1</t>
    <phoneticPr fontId="1" type="noConversion"/>
  </si>
  <si>
    <t>B1-3</t>
    <phoneticPr fontId="1" type="noConversion"/>
  </si>
  <si>
    <t>B2-1</t>
    <phoneticPr fontId="1" type="noConversion"/>
  </si>
  <si>
    <t>C1-3</t>
    <phoneticPr fontId="1" type="noConversion"/>
  </si>
  <si>
    <t>C2-1</t>
    <phoneticPr fontId="1" type="noConversion"/>
  </si>
  <si>
    <t>D2-1</t>
    <phoneticPr fontId="1" type="noConversion"/>
  </si>
  <si>
    <t>E1-3</t>
    <phoneticPr fontId="1" type="noConversion"/>
  </si>
  <si>
    <t>A2-1</t>
    <phoneticPr fontId="1" type="noConversion"/>
  </si>
  <si>
    <t>B2-1</t>
    <phoneticPr fontId="1" type="noConversion"/>
  </si>
  <si>
    <t>C2-1</t>
    <phoneticPr fontId="1" type="noConversion"/>
  </si>
  <si>
    <t>A2-2</t>
  </si>
  <si>
    <t>A3-1</t>
    <phoneticPr fontId="1" type="noConversion"/>
  </si>
  <si>
    <t>B2-2</t>
  </si>
  <si>
    <t>B2-2</t>
    <phoneticPr fontId="1" type="noConversion"/>
  </si>
  <si>
    <t>B3-1</t>
    <phoneticPr fontId="1" type="noConversion"/>
  </si>
  <si>
    <t>C2-2</t>
  </si>
  <si>
    <t>C2-2</t>
    <phoneticPr fontId="1" type="noConversion"/>
  </si>
  <si>
    <t>C3-1</t>
    <phoneticPr fontId="1" type="noConversion"/>
  </si>
  <si>
    <t>D2-2</t>
  </si>
  <si>
    <t>D2-2</t>
    <phoneticPr fontId="1" type="noConversion"/>
  </si>
  <si>
    <t>D3-1</t>
    <phoneticPr fontId="1" type="noConversion"/>
  </si>
  <si>
    <t>E2-2</t>
  </si>
  <si>
    <t>E3-1</t>
    <phoneticPr fontId="1" type="noConversion"/>
  </si>
  <si>
    <t>A2-2</t>
    <phoneticPr fontId="1" type="noConversion"/>
  </si>
  <si>
    <t>B2-2</t>
    <phoneticPr fontId="1" type="noConversion"/>
  </si>
  <si>
    <t>D2-2</t>
    <phoneticPr fontId="1" type="noConversion"/>
  </si>
  <si>
    <t>C3-1</t>
    <phoneticPr fontId="1" type="noConversion"/>
  </si>
  <si>
    <t>D3-1</t>
    <phoneticPr fontId="1" type="noConversion"/>
  </si>
  <si>
    <t>A1-1</t>
    <phoneticPr fontId="1" type="noConversion"/>
  </si>
  <si>
    <t>A1-2</t>
  </si>
  <si>
    <t>A1-3</t>
  </si>
  <si>
    <t>B1-1</t>
    <phoneticPr fontId="1" type="noConversion"/>
  </si>
  <si>
    <t>B1-2</t>
  </si>
  <si>
    <t>B1-3</t>
  </si>
  <si>
    <t>C1-2</t>
  </si>
  <si>
    <t>C1-3</t>
  </si>
  <si>
    <t>D1-2</t>
  </si>
  <si>
    <t>D1-3</t>
  </si>
  <si>
    <t>E1-1</t>
    <phoneticPr fontId="1" type="noConversion"/>
  </si>
  <si>
    <t>E1-2</t>
  </si>
  <si>
    <t>E1-3</t>
  </si>
  <si>
    <t>平均%</t>
    <phoneticPr fontId="1" type="noConversion"/>
  </si>
  <si>
    <t>A2-3</t>
  </si>
  <si>
    <t>B2-3</t>
  </si>
  <si>
    <t>C2-3</t>
  </si>
  <si>
    <t>D2-3</t>
  </si>
  <si>
    <t>E3-2</t>
  </si>
  <si>
    <t>E3-3</t>
  </si>
  <si>
    <t>E2-1</t>
    <phoneticPr fontId="1" type="noConversion"/>
  </si>
  <si>
    <t>E2-3</t>
  </si>
  <si>
    <t>A3-1</t>
    <phoneticPr fontId="1" type="noConversion"/>
  </si>
  <si>
    <t>A3-2</t>
  </si>
  <si>
    <t>A3-3</t>
  </si>
  <si>
    <t>B3-2</t>
  </si>
  <si>
    <t>B3-3</t>
  </si>
  <si>
    <t>C3-2</t>
  </si>
  <si>
    <t>C3-3</t>
  </si>
  <si>
    <t>D3-1</t>
    <phoneticPr fontId="1" type="noConversion"/>
  </si>
  <si>
    <t>D3-2</t>
  </si>
  <si>
    <t>D3-3</t>
  </si>
  <si>
    <t>A2-3</t>
    <phoneticPr fontId="1" type="noConversion"/>
  </si>
  <si>
    <t>B2-3</t>
    <phoneticPr fontId="1" type="noConversion"/>
  </si>
  <si>
    <t>C2-3</t>
    <phoneticPr fontId="1" type="noConversion"/>
  </si>
  <si>
    <t>D2-3</t>
    <phoneticPr fontId="1" type="noConversion"/>
  </si>
  <si>
    <t>E2-3</t>
    <phoneticPr fontId="1" type="noConversion"/>
  </si>
  <si>
    <t>A3-2</t>
    <phoneticPr fontId="1" type="noConversion"/>
  </si>
  <si>
    <t>B3-2</t>
    <phoneticPr fontId="1" type="noConversion"/>
  </si>
  <si>
    <t>C3-2</t>
    <phoneticPr fontId="1" type="noConversion"/>
  </si>
  <si>
    <t>D3-2</t>
    <phoneticPr fontId="1" type="noConversion"/>
  </si>
  <si>
    <t>E3-2</t>
    <phoneticPr fontId="1" type="noConversion"/>
  </si>
  <si>
    <t>A3-3</t>
    <phoneticPr fontId="1" type="noConversion"/>
  </si>
  <si>
    <t>B3-3</t>
    <phoneticPr fontId="1" type="noConversion"/>
  </si>
  <si>
    <t>C3-3</t>
    <phoneticPr fontId="1" type="noConversion"/>
  </si>
  <si>
    <t>D3-3</t>
    <phoneticPr fontId="1" type="noConversion"/>
  </si>
  <si>
    <t>E3-3</t>
    <phoneticPr fontId="1" type="noConversion"/>
  </si>
  <si>
    <t>Date</t>
    <phoneticPr fontId="1" type="noConversion"/>
  </si>
  <si>
    <t>Sample No.</t>
    <phoneticPr fontId="1" type="noConversion"/>
  </si>
  <si>
    <t>Moisture</t>
  </si>
  <si>
    <t>Protein</t>
  </si>
  <si>
    <t>Fat</t>
  </si>
  <si>
    <t>Ash</t>
  </si>
  <si>
    <t>A1-1</t>
    <phoneticPr fontId="1" type="noConversion"/>
  </si>
  <si>
    <t>A1-2</t>
    <phoneticPr fontId="1" type="noConversion"/>
  </si>
  <si>
    <t>B1-1</t>
    <phoneticPr fontId="1" type="noConversion"/>
  </si>
  <si>
    <t>B1-2</t>
    <phoneticPr fontId="1" type="noConversion"/>
  </si>
  <si>
    <t>C1-1</t>
    <phoneticPr fontId="1" type="noConversion"/>
  </si>
  <si>
    <t>C1-2</t>
    <phoneticPr fontId="1" type="noConversion"/>
  </si>
  <si>
    <t>D1-1</t>
    <phoneticPr fontId="1" type="noConversion"/>
  </si>
  <si>
    <t>D1-2</t>
    <phoneticPr fontId="1" type="noConversion"/>
  </si>
  <si>
    <t>E1-1</t>
    <phoneticPr fontId="1" type="noConversion"/>
  </si>
  <si>
    <t>E1-2</t>
    <phoneticPr fontId="1" type="noConversion"/>
  </si>
  <si>
    <t>A1-3</t>
    <phoneticPr fontId="1" type="noConversion"/>
  </si>
  <si>
    <t>A2-1</t>
    <phoneticPr fontId="1" type="noConversion"/>
  </si>
  <si>
    <t>B1-3</t>
    <phoneticPr fontId="1" type="noConversion"/>
  </si>
  <si>
    <t>B2-1</t>
    <phoneticPr fontId="1" type="noConversion"/>
  </si>
  <si>
    <t>C1-3</t>
    <phoneticPr fontId="1" type="noConversion"/>
  </si>
  <si>
    <t>C2-1</t>
    <phoneticPr fontId="1" type="noConversion"/>
  </si>
  <si>
    <t>D1-3</t>
    <phoneticPr fontId="1" type="noConversion"/>
  </si>
  <si>
    <t>D2-1</t>
    <phoneticPr fontId="1" type="noConversion"/>
  </si>
  <si>
    <t>E1-3</t>
    <phoneticPr fontId="1" type="noConversion"/>
  </si>
  <si>
    <t>E2-1</t>
    <phoneticPr fontId="1" type="noConversion"/>
  </si>
  <si>
    <t>A2-2</t>
    <phoneticPr fontId="1" type="noConversion"/>
  </si>
  <si>
    <t>A3-1</t>
    <phoneticPr fontId="1" type="noConversion"/>
  </si>
  <si>
    <t>B2-2</t>
    <phoneticPr fontId="1" type="noConversion"/>
  </si>
  <si>
    <t>B3-1</t>
    <phoneticPr fontId="1" type="noConversion"/>
  </si>
  <si>
    <t>C2-2</t>
    <phoneticPr fontId="1" type="noConversion"/>
  </si>
  <si>
    <t>C3-1</t>
    <phoneticPr fontId="1" type="noConversion"/>
  </si>
  <si>
    <t>D2-2</t>
    <phoneticPr fontId="1" type="noConversion"/>
  </si>
  <si>
    <t>D3-1</t>
    <phoneticPr fontId="1" type="noConversion"/>
  </si>
  <si>
    <t>E2-2</t>
    <phoneticPr fontId="1" type="noConversion"/>
  </si>
  <si>
    <t>E3-1</t>
    <phoneticPr fontId="1" type="noConversion"/>
  </si>
  <si>
    <t>A2-3</t>
    <phoneticPr fontId="1" type="noConversion"/>
  </si>
  <si>
    <t>A3-2</t>
    <phoneticPr fontId="1" type="noConversion"/>
  </si>
  <si>
    <t>B2-3</t>
    <phoneticPr fontId="1" type="noConversion"/>
  </si>
  <si>
    <t>B3-2</t>
    <phoneticPr fontId="1" type="noConversion"/>
  </si>
  <si>
    <t>C2-3</t>
    <phoneticPr fontId="1" type="noConversion"/>
  </si>
  <si>
    <t>C3-2</t>
    <phoneticPr fontId="1" type="noConversion"/>
  </si>
  <si>
    <t>D2-3</t>
    <phoneticPr fontId="1" type="noConversion"/>
  </si>
  <si>
    <t>D3-2</t>
    <phoneticPr fontId="1" type="noConversion"/>
  </si>
  <si>
    <t>E2-3</t>
    <phoneticPr fontId="1" type="noConversion"/>
  </si>
  <si>
    <t>E3-2</t>
    <phoneticPr fontId="1" type="noConversion"/>
  </si>
  <si>
    <t>A3-3</t>
    <phoneticPr fontId="1" type="noConversion"/>
  </si>
  <si>
    <t>B3-3</t>
    <phoneticPr fontId="1" type="noConversion"/>
  </si>
  <si>
    <t>C3-3</t>
    <phoneticPr fontId="1" type="noConversion"/>
  </si>
  <si>
    <t>D3-3</t>
    <phoneticPr fontId="1" type="noConversion"/>
  </si>
  <si>
    <t>E3-3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</si>
</sst>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000_ "/>
    <numFmt numFmtId="177" formatCode="0.0000_);[Red]\(0.0000\)"/>
    <numFmt numFmtId="178" formatCode="0.0000%"/>
    <numFmt numFmtId="179" formatCode="0.00_ "/>
    <numFmt numFmtId="182" formatCode="0.000_);[Red]\(0.000\)"/>
    <numFmt numFmtId="183" formatCode="0.000_ "/>
  </numFmts>
  <fonts count="2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rgb="FF00B0F0"/>
      <name val="微軟正黑體"/>
      <family val="2"/>
      <charset val="136"/>
    </font>
    <font>
      <sz val="14"/>
      <color rgb="FFFF0066"/>
      <name val="微軟正黑體"/>
      <family val="2"/>
      <charset val="136"/>
    </font>
    <font>
      <sz val="14"/>
      <color rgb="FF33CC33"/>
      <name val="微軟正黑體"/>
      <family val="2"/>
      <charset val="136"/>
    </font>
    <font>
      <sz val="14"/>
      <color rgb="FF0070C0"/>
      <name val="微軟正黑體"/>
      <family val="2"/>
      <charset val="136"/>
    </font>
    <font>
      <sz val="14"/>
      <color rgb="FF969696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0070C0"/>
      <name val="微軟正黑體"/>
      <family val="2"/>
      <charset val="136"/>
    </font>
    <font>
      <b/>
      <sz val="14"/>
      <color theme="0" tint="-0.499984740745262"/>
      <name val="微軟正黑體"/>
      <family val="2"/>
      <charset val="136"/>
    </font>
    <font>
      <sz val="14"/>
      <color theme="9" tint="-0.249977111117893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b/>
      <sz val="14"/>
      <color rgb="FFFF0066"/>
      <name val="微軟正黑體"/>
      <family val="2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33CC"/>
      <name val="Times New Roman"/>
      <family val="1"/>
    </font>
    <font>
      <sz val="12"/>
      <color theme="7" tint="0.39997558519241921"/>
      <name val="Times New Roman"/>
      <family val="1"/>
    </font>
    <font>
      <sz val="12"/>
      <color theme="9" tint="-0.249977111117893"/>
      <name val="Times New Roman"/>
      <family val="1"/>
    </font>
    <font>
      <sz val="12"/>
      <color theme="0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178" fontId="2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82" fontId="7" fillId="0" borderId="0" xfId="0" applyNumberFormat="1" applyFont="1">
      <alignment vertical="center"/>
    </xf>
    <xf numFmtId="182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83" fontId="18" fillId="0" borderId="0" xfId="0" applyNumberFormat="1" applyFont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183" fontId="6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3" fontId="2" fillId="0" borderId="0" xfId="0" applyNumberFormat="1" applyFont="1">
      <alignment vertical="center"/>
    </xf>
    <xf numFmtId="183" fontId="9" fillId="0" borderId="0" xfId="0" applyNumberFormat="1" applyFont="1" applyAlignment="1">
      <alignment horizontal="center" vertical="center"/>
    </xf>
    <xf numFmtId="179" fontId="17" fillId="2" borderId="0" xfId="0" applyNumberFormat="1" applyFont="1" applyFill="1" applyAlignment="1">
      <alignment horizontal="center" vertical="center"/>
    </xf>
    <xf numFmtId="183" fontId="1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0066"/>
      <color rgb="FF969696"/>
      <color rgb="FF0033C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J13" sqref="J13"/>
    </sheetView>
  </sheetViews>
  <sheetFormatPr defaultColWidth="9" defaultRowHeight="18" x14ac:dyDescent="0.3"/>
  <cols>
    <col min="1" max="1" width="12" style="2" bestFit="1" customWidth="1"/>
    <col min="2" max="2" width="14" style="2" bestFit="1" customWidth="1"/>
    <col min="3" max="3" width="17.33203125" style="2" bestFit="1" customWidth="1"/>
    <col min="4" max="4" width="29.77734375" style="2" bestFit="1" customWidth="1"/>
    <col min="5" max="5" width="24.44140625" style="2" bestFit="1" customWidth="1"/>
    <col min="6" max="6" width="36.33203125" style="2" customWidth="1"/>
    <col min="7" max="7" width="14" style="2" bestFit="1" customWidth="1"/>
    <col min="8" max="8" width="31.77734375" style="2" bestFit="1" customWidth="1"/>
    <col min="9" max="9" width="15.109375" style="2" bestFit="1" customWidth="1"/>
    <col min="10" max="16384" width="9" style="2"/>
  </cols>
  <sheetData>
    <row r="1" spans="1:9" x14ac:dyDescent="0.3">
      <c r="A1" s="8">
        <v>1110817</v>
      </c>
    </row>
    <row r="2" spans="1:9" x14ac:dyDescent="0.3">
      <c r="A2" s="5" t="s">
        <v>8</v>
      </c>
      <c r="C2" s="1"/>
      <c r="D2" s="1"/>
      <c r="E2" s="1"/>
      <c r="F2" s="1"/>
      <c r="G2" s="1"/>
    </row>
    <row r="3" spans="1:9" s="10" customFormat="1" x14ac:dyDescent="0.3">
      <c r="A3" s="10" t="s">
        <v>7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2" t="s">
        <v>14</v>
      </c>
      <c r="H3" s="11" t="s">
        <v>15</v>
      </c>
      <c r="I3" s="13" t="s">
        <v>16</v>
      </c>
    </row>
    <row r="4" spans="1:9" x14ac:dyDescent="0.3">
      <c r="A4" s="2" t="s">
        <v>18</v>
      </c>
      <c r="B4" s="1">
        <v>347</v>
      </c>
      <c r="C4" s="1">
        <v>29.684899999999999</v>
      </c>
      <c r="D4" s="3">
        <v>3.0169000000000001</v>
      </c>
      <c r="E4" s="3">
        <f>SUM(C4+D4)</f>
        <v>32.701799999999999</v>
      </c>
      <c r="F4" s="3">
        <v>30.4221</v>
      </c>
      <c r="G4" s="40">
        <f>(E4-F4)/D4*100</f>
        <v>75.564320991746442</v>
      </c>
      <c r="H4" s="1">
        <v>29.723199999999999</v>
      </c>
      <c r="I4" s="31">
        <f t="shared" ref="I4:I13" si="0">(H4-C4)/D4*100</f>
        <v>1.2695150651330689</v>
      </c>
    </row>
    <row r="5" spans="1:9" x14ac:dyDescent="0.3">
      <c r="A5" s="2" t="s">
        <v>19</v>
      </c>
      <c r="B5" s="1">
        <v>2</v>
      </c>
      <c r="C5" s="1">
        <v>29.5213</v>
      </c>
      <c r="D5" s="3">
        <v>3.0057</v>
      </c>
      <c r="E5" s="3">
        <f t="shared" ref="E5:E13" si="1">SUM(C5+D5)</f>
        <v>32.527000000000001</v>
      </c>
      <c r="F5" s="3">
        <v>30.2742</v>
      </c>
      <c r="G5" s="40">
        <f t="shared" ref="G5:G11" si="2">(E5-F5)/D5*100</f>
        <v>74.950926572844949</v>
      </c>
      <c r="H5" s="1">
        <v>29.5595</v>
      </c>
      <c r="I5" s="31">
        <f t="shared" si="0"/>
        <v>1.2709185880160958</v>
      </c>
    </row>
    <row r="6" spans="1:9" x14ac:dyDescent="0.3">
      <c r="A6" s="2" t="s">
        <v>20</v>
      </c>
      <c r="B6" s="1">
        <v>281</v>
      </c>
      <c r="C6" s="1">
        <v>26.873100000000001</v>
      </c>
      <c r="D6" s="3">
        <v>3.0068000000000001</v>
      </c>
      <c r="E6" s="3">
        <f t="shared" si="1"/>
        <v>29.879899999999999</v>
      </c>
      <c r="F6" s="3">
        <v>27.640899999999998</v>
      </c>
      <c r="G6" s="40">
        <f t="shared" si="2"/>
        <v>74.46454702673941</v>
      </c>
      <c r="H6" s="1">
        <v>26.911899999999999</v>
      </c>
      <c r="I6" s="31">
        <f t="shared" si="0"/>
        <v>1.2904084076093649</v>
      </c>
    </row>
    <row r="7" spans="1:9" x14ac:dyDescent="0.3">
      <c r="A7" s="2" t="s">
        <v>21</v>
      </c>
      <c r="B7" s="1">
        <v>295</v>
      </c>
      <c r="C7" s="1">
        <v>27.133199999999999</v>
      </c>
      <c r="D7" s="3">
        <v>3.0028999999999999</v>
      </c>
      <c r="E7" s="3">
        <f t="shared" si="1"/>
        <v>30.136099999999999</v>
      </c>
      <c r="F7" s="3">
        <v>27.890899999999998</v>
      </c>
      <c r="G7" s="40">
        <f t="shared" si="2"/>
        <v>74.76772453295149</v>
      </c>
      <c r="H7" s="1">
        <v>27.171900000000001</v>
      </c>
      <c r="I7" s="31">
        <f t="shared" si="0"/>
        <v>1.288754204269279</v>
      </c>
    </row>
    <row r="8" spans="1:9" x14ac:dyDescent="0.3">
      <c r="A8" s="2" t="s">
        <v>22</v>
      </c>
      <c r="B8" s="1">
        <v>79</v>
      </c>
      <c r="C8" s="3">
        <v>28.271000000000001</v>
      </c>
      <c r="D8" s="3">
        <v>3.0057</v>
      </c>
      <c r="E8" s="3">
        <f t="shared" si="1"/>
        <v>31.276700000000002</v>
      </c>
      <c r="F8" s="3">
        <v>29.019100000000002</v>
      </c>
      <c r="G8" s="40">
        <f t="shared" si="2"/>
        <v>75.110623149349564</v>
      </c>
      <c r="H8" s="1">
        <v>28.309699999999999</v>
      </c>
      <c r="I8" s="31">
        <f t="shared" si="0"/>
        <v>1.2875536480686238</v>
      </c>
    </row>
    <row r="9" spans="1:9" x14ac:dyDescent="0.3">
      <c r="A9" s="2" t="s">
        <v>23</v>
      </c>
      <c r="B9" s="1">
        <v>6</v>
      </c>
      <c r="C9" s="1">
        <v>29.654499999999999</v>
      </c>
      <c r="D9" s="3">
        <v>2.9990999999999999</v>
      </c>
      <c r="E9" s="3">
        <f t="shared" si="1"/>
        <v>32.653599999999997</v>
      </c>
      <c r="F9" s="3">
        <v>30.407599999999999</v>
      </c>
      <c r="G9" s="40">
        <f t="shared" si="2"/>
        <v>74.889133406688629</v>
      </c>
      <c r="H9" s="1">
        <v>29.692900000000002</v>
      </c>
      <c r="I9" s="31">
        <f t="shared" si="0"/>
        <v>1.2803841152346662</v>
      </c>
    </row>
    <row r="10" spans="1:9" x14ac:dyDescent="0.3">
      <c r="A10" s="2" t="s">
        <v>24</v>
      </c>
      <c r="B10" s="1">
        <v>240</v>
      </c>
      <c r="C10" s="1">
        <v>29.7987</v>
      </c>
      <c r="D10" s="3">
        <v>2.9982000000000002</v>
      </c>
      <c r="E10" s="3">
        <f t="shared" si="1"/>
        <v>32.796900000000001</v>
      </c>
      <c r="F10" s="3">
        <v>30.534400000000002</v>
      </c>
      <c r="G10" s="40">
        <f t="shared" si="2"/>
        <v>75.461943832966412</v>
      </c>
      <c r="H10" s="1">
        <v>29.837700000000002</v>
      </c>
      <c r="I10" s="31">
        <f t="shared" si="0"/>
        <v>1.3007804682810178</v>
      </c>
    </row>
    <row r="11" spans="1:9" x14ac:dyDescent="0.3">
      <c r="A11" s="2" t="s">
        <v>25</v>
      </c>
      <c r="B11" s="1">
        <v>7</v>
      </c>
      <c r="C11" s="3">
        <v>27.087900000000001</v>
      </c>
      <c r="D11" s="3">
        <v>2.9996999999999998</v>
      </c>
      <c r="E11" s="3">
        <f t="shared" si="1"/>
        <v>30.087600000000002</v>
      </c>
      <c r="F11" s="3">
        <v>27.813400000000001</v>
      </c>
      <c r="G11" s="40">
        <f t="shared" si="2"/>
        <v>75.814248091475832</v>
      </c>
      <c r="H11" s="1">
        <v>27.1264</v>
      </c>
      <c r="I11" s="31">
        <f t="shared" si="0"/>
        <v>1.2834616795012532</v>
      </c>
    </row>
    <row r="12" spans="1:9" x14ac:dyDescent="0.3">
      <c r="A12" s="2" t="s">
        <v>26</v>
      </c>
      <c r="B12" s="1">
        <v>284</v>
      </c>
      <c r="C12" s="1">
        <v>28.6309</v>
      </c>
      <c r="D12" s="1">
        <v>3.0076999999999998</v>
      </c>
      <c r="E12" s="3">
        <f t="shared" si="1"/>
        <v>31.6386</v>
      </c>
      <c r="F12" s="3">
        <v>29.395900000000001</v>
      </c>
      <c r="G12" s="40">
        <f t="shared" ref="G12:G13" si="3">(E12-F12)/D12*100</f>
        <v>74.565282441732862</v>
      </c>
      <c r="H12" s="1">
        <v>28.671199999999999</v>
      </c>
      <c r="I12" s="31">
        <f t="shared" si="0"/>
        <v>1.3398942713700985</v>
      </c>
    </row>
    <row r="13" spans="1:9" x14ac:dyDescent="0.3">
      <c r="A13" s="2" t="s">
        <v>27</v>
      </c>
      <c r="B13" s="1">
        <v>17</v>
      </c>
      <c r="C13" s="1">
        <v>29.786799999999999</v>
      </c>
      <c r="D13" s="1">
        <v>3.0114999999999998</v>
      </c>
      <c r="E13" s="3">
        <f t="shared" si="1"/>
        <v>32.798299999999998</v>
      </c>
      <c r="F13" s="3">
        <v>30.543099999999999</v>
      </c>
      <c r="G13" s="40">
        <f t="shared" si="3"/>
        <v>74.886269301012746</v>
      </c>
      <c r="H13" s="1">
        <v>29.8276</v>
      </c>
      <c r="I13" s="31">
        <f t="shared" si="0"/>
        <v>1.3548065747966407</v>
      </c>
    </row>
    <row r="14" spans="1:9" x14ac:dyDescent="0.3">
      <c r="A14" s="7"/>
      <c r="B14" s="1"/>
      <c r="C14" s="1"/>
      <c r="D14" s="1"/>
      <c r="E14" s="3"/>
      <c r="F14" s="3"/>
      <c r="G14" s="41"/>
    </row>
    <row r="15" spans="1:9" x14ac:dyDescent="0.3">
      <c r="A15" s="8">
        <v>1110906</v>
      </c>
      <c r="G15" s="42"/>
    </row>
    <row r="16" spans="1:9" x14ac:dyDescent="0.3">
      <c r="A16" s="5" t="s">
        <v>8</v>
      </c>
      <c r="C16" s="1"/>
      <c r="D16" s="1"/>
      <c r="E16" s="1"/>
      <c r="F16" s="1"/>
      <c r="G16" s="41"/>
    </row>
    <row r="17" spans="1:9" s="10" customFormat="1" x14ac:dyDescent="0.3">
      <c r="A17" s="10" t="s">
        <v>7</v>
      </c>
      <c r="B17" s="11" t="s">
        <v>9</v>
      </c>
      <c r="C17" s="11" t="s">
        <v>10</v>
      </c>
      <c r="D17" s="11" t="s">
        <v>0</v>
      </c>
      <c r="E17" s="11" t="s">
        <v>12</v>
      </c>
      <c r="F17" s="11" t="s">
        <v>13</v>
      </c>
      <c r="G17" s="43" t="s">
        <v>14</v>
      </c>
      <c r="H17" s="11" t="s">
        <v>15</v>
      </c>
      <c r="I17" s="13" t="s">
        <v>16</v>
      </c>
    </row>
    <row r="18" spans="1:9" x14ac:dyDescent="0.3">
      <c r="A18" s="2" t="s">
        <v>37</v>
      </c>
      <c r="B18" s="1">
        <v>79</v>
      </c>
      <c r="C18" s="3">
        <v>28.268999999999998</v>
      </c>
      <c r="D18" s="3">
        <v>3.0127000000000002</v>
      </c>
      <c r="E18" s="3">
        <f>SUM(C18+D18)</f>
        <v>31.281699999999997</v>
      </c>
      <c r="F18" s="3">
        <v>28.996400000000001</v>
      </c>
      <c r="G18" s="40">
        <f>(E18-F18)/D18*100</f>
        <v>75.855544860092138</v>
      </c>
      <c r="H18" s="1">
        <v>28.307300000000001</v>
      </c>
      <c r="I18" s="31">
        <f t="shared" ref="I18:I27" si="4">(H18-C18)/D18*100</f>
        <v>1.2712848939490526</v>
      </c>
    </row>
    <row r="19" spans="1:9" x14ac:dyDescent="0.3">
      <c r="A19" s="2" t="s">
        <v>38</v>
      </c>
      <c r="B19" s="1">
        <v>281</v>
      </c>
      <c r="C19" s="1">
        <v>26.8704</v>
      </c>
      <c r="D19" s="3">
        <v>3.0173000000000001</v>
      </c>
      <c r="E19" s="3">
        <f t="shared" ref="E19:E27" si="5">SUM(C19+D19)</f>
        <v>29.887699999999999</v>
      </c>
      <c r="F19" s="3">
        <v>27.6174</v>
      </c>
      <c r="G19" s="40">
        <f t="shared" ref="G19:G27" si="6">(E19-F19)/D19*100</f>
        <v>75.242766711960982</v>
      </c>
      <c r="H19" s="1">
        <v>26.908300000000001</v>
      </c>
      <c r="I19" s="31">
        <f t="shared" si="4"/>
        <v>1.2560898816823147</v>
      </c>
    </row>
    <row r="20" spans="1:9" x14ac:dyDescent="0.3">
      <c r="A20" s="2" t="s">
        <v>39</v>
      </c>
      <c r="B20" s="1">
        <v>447</v>
      </c>
      <c r="C20" s="1">
        <v>21.419799999999999</v>
      </c>
      <c r="D20" s="3">
        <v>3.0177999999999998</v>
      </c>
      <c r="E20" s="3">
        <f t="shared" si="5"/>
        <v>24.4376</v>
      </c>
      <c r="F20" s="3">
        <v>22.150700000000001</v>
      </c>
      <c r="G20" s="40">
        <f t="shared" si="6"/>
        <v>75.780369805818793</v>
      </c>
      <c r="H20" s="1">
        <v>21.458200000000001</v>
      </c>
      <c r="I20" s="31">
        <f t="shared" si="4"/>
        <v>1.2724501292333117</v>
      </c>
    </row>
    <row r="21" spans="1:9" x14ac:dyDescent="0.3">
      <c r="A21" s="2" t="s">
        <v>40</v>
      </c>
      <c r="B21" s="1">
        <v>16</v>
      </c>
      <c r="C21" s="1">
        <v>17.815899999999999</v>
      </c>
      <c r="D21" s="3">
        <v>3.0055999999999998</v>
      </c>
      <c r="E21" s="3">
        <f t="shared" si="5"/>
        <v>20.8215</v>
      </c>
      <c r="F21" s="3">
        <v>18.5914</v>
      </c>
      <c r="G21" s="40">
        <f t="shared" si="6"/>
        <v>74.19816342826725</v>
      </c>
      <c r="H21" s="1">
        <v>17.855699999999999</v>
      </c>
      <c r="I21" s="31">
        <f t="shared" si="4"/>
        <v>1.3241948363055502</v>
      </c>
    </row>
    <row r="22" spans="1:9" x14ac:dyDescent="0.3">
      <c r="A22" s="2" t="s">
        <v>41</v>
      </c>
      <c r="B22" s="1">
        <v>17</v>
      </c>
      <c r="C22" s="3">
        <v>29.789100000000001</v>
      </c>
      <c r="D22" s="3">
        <v>3.0148999999999999</v>
      </c>
      <c r="E22" s="3">
        <f t="shared" si="5"/>
        <v>32.804000000000002</v>
      </c>
      <c r="F22" s="3">
        <v>30.545200000000001</v>
      </c>
      <c r="G22" s="40">
        <f t="shared" si="6"/>
        <v>74.921224584563362</v>
      </c>
      <c r="H22" s="1">
        <v>29.8278</v>
      </c>
      <c r="I22" s="31">
        <f t="shared" si="4"/>
        <v>1.2836246641679201</v>
      </c>
    </row>
    <row r="23" spans="1:9" x14ac:dyDescent="0.3">
      <c r="A23" s="2" t="s">
        <v>42</v>
      </c>
      <c r="B23" s="1">
        <v>7</v>
      </c>
      <c r="C23" s="1">
        <v>27.087199999999999</v>
      </c>
      <c r="D23" s="3">
        <v>2.9569999999999999</v>
      </c>
      <c r="E23" s="3">
        <f t="shared" si="5"/>
        <v>30.0442</v>
      </c>
      <c r="F23" s="3">
        <v>27.847000000000001</v>
      </c>
      <c r="G23" s="40">
        <f t="shared" si="6"/>
        <v>74.305038890767634</v>
      </c>
      <c r="H23" s="1">
        <v>27.1264</v>
      </c>
      <c r="I23" s="31">
        <f t="shared" si="4"/>
        <v>1.3256679066621919</v>
      </c>
    </row>
    <row r="24" spans="1:9" x14ac:dyDescent="0.3">
      <c r="A24" s="2" t="s">
        <v>28</v>
      </c>
      <c r="B24" s="1">
        <v>240</v>
      </c>
      <c r="C24" s="1">
        <v>29.796500000000002</v>
      </c>
      <c r="D24" s="3">
        <v>3.0232999999999999</v>
      </c>
      <c r="E24" s="3">
        <f t="shared" si="5"/>
        <v>32.819800000000001</v>
      </c>
      <c r="F24" s="3">
        <v>30.5428</v>
      </c>
      <c r="G24" s="40">
        <f t="shared" si="6"/>
        <v>75.315053087685683</v>
      </c>
      <c r="H24" s="1">
        <v>29.834299999999999</v>
      </c>
      <c r="I24" s="31">
        <f t="shared" si="4"/>
        <v>1.2502894188468618</v>
      </c>
    </row>
    <row r="25" spans="1:9" x14ac:dyDescent="0.3">
      <c r="A25" s="2" t="s">
        <v>43</v>
      </c>
      <c r="B25" s="1">
        <v>347</v>
      </c>
      <c r="C25" s="3">
        <v>29.682500000000001</v>
      </c>
      <c r="D25" s="3">
        <v>3.0097</v>
      </c>
      <c r="E25" s="3">
        <f t="shared" si="5"/>
        <v>32.6922</v>
      </c>
      <c r="F25" s="3">
        <v>30.44</v>
      </c>
      <c r="G25" s="40">
        <f t="shared" si="6"/>
        <v>74.831378542711846</v>
      </c>
      <c r="H25" s="1">
        <v>29.720199999999998</v>
      </c>
      <c r="I25" s="31">
        <f t="shared" si="4"/>
        <v>1.2526165398543843</v>
      </c>
    </row>
    <row r="26" spans="1:9" x14ac:dyDescent="0.3">
      <c r="A26" s="2" t="s">
        <v>44</v>
      </c>
      <c r="B26" s="1">
        <v>6</v>
      </c>
      <c r="C26" s="1">
        <v>29.6554</v>
      </c>
      <c r="D26" s="1">
        <v>2.9973000000000001</v>
      </c>
      <c r="E26" s="3">
        <f t="shared" si="5"/>
        <v>32.652700000000003</v>
      </c>
      <c r="F26" s="3">
        <v>30.403700000000001</v>
      </c>
      <c r="G26" s="40">
        <f t="shared" si="6"/>
        <v>75.034197444366669</v>
      </c>
      <c r="H26" s="1">
        <v>29.693300000000001</v>
      </c>
      <c r="I26" s="31">
        <f t="shared" si="4"/>
        <v>1.2644713575551492</v>
      </c>
    </row>
    <row r="27" spans="1:9" x14ac:dyDescent="0.3">
      <c r="A27" s="2" t="s">
        <v>29</v>
      </c>
      <c r="B27" s="1">
        <v>284</v>
      </c>
      <c r="C27" s="1">
        <v>28.630800000000001</v>
      </c>
      <c r="D27" s="3">
        <v>3.0129999999999999</v>
      </c>
      <c r="E27" s="3">
        <f t="shared" si="5"/>
        <v>31.643799999999999</v>
      </c>
      <c r="F27" s="3">
        <v>29.3782</v>
      </c>
      <c r="G27" s="40">
        <f t="shared" si="6"/>
        <v>75.194158645867887</v>
      </c>
      <c r="H27" s="1">
        <v>28.668500000000002</v>
      </c>
      <c r="I27" s="31">
        <f t="shared" si="4"/>
        <v>1.2512446067043133</v>
      </c>
    </row>
    <row r="28" spans="1:9" x14ac:dyDescent="0.3">
      <c r="G28" s="42"/>
    </row>
    <row r="29" spans="1:9" x14ac:dyDescent="0.3">
      <c r="A29" s="8">
        <v>1110913</v>
      </c>
      <c r="G29" s="42"/>
    </row>
    <row r="30" spans="1:9" x14ac:dyDescent="0.3">
      <c r="A30" s="5" t="s">
        <v>8</v>
      </c>
      <c r="C30" s="1"/>
      <c r="D30" s="1"/>
      <c r="E30" s="1"/>
      <c r="F30" s="1"/>
      <c r="G30" s="41"/>
    </row>
    <row r="31" spans="1:9" s="10" customFormat="1" x14ac:dyDescent="0.3">
      <c r="A31" s="10" t="s">
        <v>7</v>
      </c>
      <c r="B31" s="11" t="s">
        <v>9</v>
      </c>
      <c r="C31" s="11" t="s">
        <v>10</v>
      </c>
      <c r="D31" s="11" t="s">
        <v>0</v>
      </c>
      <c r="E31" s="11" t="s">
        <v>12</v>
      </c>
      <c r="F31" s="11" t="s">
        <v>13</v>
      </c>
      <c r="G31" s="43" t="s">
        <v>14</v>
      </c>
      <c r="H31" s="11" t="s">
        <v>15</v>
      </c>
      <c r="I31" s="13" t="s">
        <v>16</v>
      </c>
    </row>
    <row r="32" spans="1:9" x14ac:dyDescent="0.3">
      <c r="A32" s="2" t="s">
        <v>30</v>
      </c>
      <c r="B32" s="1">
        <v>284</v>
      </c>
      <c r="C32" s="3">
        <v>28.6356</v>
      </c>
      <c r="D32" s="3">
        <v>3.0160999999999998</v>
      </c>
      <c r="E32" s="3">
        <f>SUM(C32+D32)</f>
        <v>31.651699999999998</v>
      </c>
      <c r="F32" s="3">
        <v>29.358799999999999</v>
      </c>
      <c r="G32" s="40">
        <f>(E32-F32)/D32*100</f>
        <v>76.022015185172904</v>
      </c>
      <c r="H32" s="1">
        <v>28.6738</v>
      </c>
      <c r="I32" s="31">
        <f>(H32-C32)/D32*100</f>
        <v>1.2665362554291899</v>
      </c>
    </row>
    <row r="33" spans="1:9" x14ac:dyDescent="0.3">
      <c r="A33" s="2" t="s">
        <v>49</v>
      </c>
      <c r="B33" s="1">
        <v>281</v>
      </c>
      <c r="C33" s="1">
        <v>26.874300000000002</v>
      </c>
      <c r="D33" s="3">
        <v>3.0063</v>
      </c>
      <c r="E33" s="3">
        <f t="shared" ref="E33:E41" si="7">SUM(C33+D33)</f>
        <v>29.880600000000001</v>
      </c>
      <c r="F33" s="3">
        <v>27.598500000000001</v>
      </c>
      <c r="G33" s="40">
        <f t="shared" ref="G33:G41" si="8">(E33-F33)/D33*100</f>
        <v>75.910587765692043</v>
      </c>
      <c r="H33" s="1">
        <v>26.911899999999999</v>
      </c>
      <c r="I33" s="31">
        <f t="shared" ref="I33:I41" si="9">(H33-C33)/D33*100</f>
        <v>1.2507068489504585</v>
      </c>
    </row>
    <row r="34" spans="1:9" x14ac:dyDescent="0.3">
      <c r="A34" s="2" t="s">
        <v>51</v>
      </c>
      <c r="B34" s="1">
        <v>447</v>
      </c>
      <c r="C34" s="1">
        <v>21.425699999999999</v>
      </c>
      <c r="D34" s="3">
        <v>3.0356000000000001</v>
      </c>
      <c r="E34" s="3">
        <f t="shared" si="7"/>
        <v>24.461299999999998</v>
      </c>
      <c r="F34" s="3">
        <v>22.200399999999998</v>
      </c>
      <c r="G34" s="40">
        <f t="shared" si="8"/>
        <v>74.479509816840135</v>
      </c>
      <c r="H34" s="1">
        <v>21.466100000000001</v>
      </c>
      <c r="I34" s="31">
        <f t="shared" si="9"/>
        <v>1.330873632889767</v>
      </c>
    </row>
    <row r="35" spans="1:9" x14ac:dyDescent="0.3">
      <c r="A35" s="2" t="s">
        <v>52</v>
      </c>
      <c r="B35" s="1">
        <v>347</v>
      </c>
      <c r="C35" s="3">
        <v>29.687000000000001</v>
      </c>
      <c r="D35" s="3">
        <v>3.0085999999999999</v>
      </c>
      <c r="E35" s="3">
        <f t="shared" si="7"/>
        <v>32.695599999999999</v>
      </c>
      <c r="F35" s="3">
        <v>30.438300000000002</v>
      </c>
      <c r="G35" s="40">
        <f t="shared" si="8"/>
        <v>75.028252343282503</v>
      </c>
      <c r="H35" s="3">
        <v>29.724</v>
      </c>
      <c r="I35" s="31">
        <f t="shared" si="9"/>
        <v>1.2298078840656463</v>
      </c>
    </row>
    <row r="36" spans="1:9" x14ac:dyDescent="0.3">
      <c r="A36" s="2" t="s">
        <v>54</v>
      </c>
      <c r="B36" s="1">
        <v>16</v>
      </c>
      <c r="C36" s="3">
        <v>17.820900000000002</v>
      </c>
      <c r="D36" s="3">
        <v>3.0238999999999998</v>
      </c>
      <c r="E36" s="3">
        <f t="shared" si="7"/>
        <v>20.844800000000003</v>
      </c>
      <c r="F36" s="3">
        <v>18.603000000000002</v>
      </c>
      <c r="G36" s="40">
        <f t="shared" si="8"/>
        <v>74.136049472535518</v>
      </c>
      <c r="H36" s="1">
        <v>17.860099999999999</v>
      </c>
      <c r="I36" s="31">
        <f t="shared" si="9"/>
        <v>1.2963391646548319</v>
      </c>
    </row>
    <row r="37" spans="1:9" x14ac:dyDescent="0.3">
      <c r="A37" s="2" t="s">
        <v>55</v>
      </c>
      <c r="B37" s="1">
        <v>7</v>
      </c>
      <c r="C37" s="1">
        <v>27.0929</v>
      </c>
      <c r="D37" s="3">
        <v>3.0051000000000001</v>
      </c>
      <c r="E37" s="3">
        <f t="shared" si="7"/>
        <v>30.097999999999999</v>
      </c>
      <c r="F37" s="3">
        <v>27.83</v>
      </c>
      <c r="G37" s="40">
        <f t="shared" si="8"/>
        <v>75.471698113207566</v>
      </c>
      <c r="H37" s="1">
        <v>27.130500000000001</v>
      </c>
      <c r="I37" s="31">
        <f t="shared" si="9"/>
        <v>1.2512062826528629</v>
      </c>
    </row>
    <row r="38" spans="1:9" x14ac:dyDescent="0.3">
      <c r="A38" s="2" t="s">
        <v>57</v>
      </c>
      <c r="B38" s="1">
        <v>17</v>
      </c>
      <c r="C38" s="1">
        <v>29.794499999999999</v>
      </c>
      <c r="D38" s="3">
        <v>3.0023</v>
      </c>
      <c r="E38" s="3">
        <f t="shared" si="7"/>
        <v>32.796799999999998</v>
      </c>
      <c r="F38" s="3">
        <v>30.5778</v>
      </c>
      <c r="G38" s="40">
        <f t="shared" si="8"/>
        <v>73.910002331545726</v>
      </c>
      <c r="H38" s="1">
        <v>29.833400000000001</v>
      </c>
      <c r="I38" s="31">
        <f t="shared" si="9"/>
        <v>1.2956733171235957</v>
      </c>
    </row>
    <row r="39" spans="1:9" x14ac:dyDescent="0.3">
      <c r="A39" s="2" t="s">
        <v>58</v>
      </c>
      <c r="B39" s="1">
        <v>6</v>
      </c>
      <c r="C39" s="3">
        <v>29.660900000000002</v>
      </c>
      <c r="D39" s="3">
        <v>3.0265</v>
      </c>
      <c r="E39" s="3">
        <f t="shared" si="7"/>
        <v>32.687400000000004</v>
      </c>
      <c r="F39" s="3">
        <v>30.4315</v>
      </c>
      <c r="G39" s="40">
        <f t="shared" si="8"/>
        <v>74.538245498100252</v>
      </c>
      <c r="H39" s="1">
        <v>29.702400000000001</v>
      </c>
      <c r="I39" s="31">
        <f t="shared" si="9"/>
        <v>1.3712208822071437</v>
      </c>
    </row>
    <row r="40" spans="1:9" x14ac:dyDescent="0.3">
      <c r="A40" s="2" t="s">
        <v>32</v>
      </c>
      <c r="B40" s="1">
        <v>79</v>
      </c>
      <c r="C40" s="1">
        <v>28.272300000000001</v>
      </c>
      <c r="D40" s="1">
        <v>3.0304000000000002</v>
      </c>
      <c r="E40" s="3">
        <f t="shared" si="7"/>
        <v>31.302700000000002</v>
      </c>
      <c r="F40" s="3">
        <v>29.024699999999999</v>
      </c>
      <c r="G40" s="40">
        <f t="shared" si="8"/>
        <v>75.171594508975787</v>
      </c>
      <c r="H40" s="1">
        <v>28.3109</v>
      </c>
      <c r="I40" s="31">
        <f t="shared" si="9"/>
        <v>1.2737592397042916</v>
      </c>
    </row>
    <row r="41" spans="1:9" x14ac:dyDescent="0.3">
      <c r="A41" s="2" t="s">
        <v>60</v>
      </c>
      <c r="B41" s="1">
        <v>240</v>
      </c>
      <c r="C41" s="1">
        <v>29.8017</v>
      </c>
      <c r="D41" s="3">
        <v>3.0244</v>
      </c>
      <c r="E41" s="3">
        <f t="shared" si="7"/>
        <v>32.826099999999997</v>
      </c>
      <c r="F41" s="3">
        <v>30.560500000000001</v>
      </c>
      <c r="G41" s="40">
        <f t="shared" si="8"/>
        <v>74.910726094431809</v>
      </c>
      <c r="H41" s="1">
        <v>29.840800000000002</v>
      </c>
      <c r="I41" s="31">
        <f t="shared" si="9"/>
        <v>1.2928184102632339</v>
      </c>
    </row>
    <row r="42" spans="1:9" x14ac:dyDescent="0.3">
      <c r="G42" s="42"/>
    </row>
    <row r="43" spans="1:9" x14ac:dyDescent="0.3">
      <c r="A43" s="8">
        <v>1110920</v>
      </c>
      <c r="G43" s="42"/>
    </row>
    <row r="44" spans="1:9" x14ac:dyDescent="0.3">
      <c r="A44" s="5" t="s">
        <v>8</v>
      </c>
      <c r="C44" s="1"/>
      <c r="D44" s="1"/>
      <c r="E44" s="1"/>
      <c r="F44" s="1"/>
      <c r="G44" s="41"/>
    </row>
    <row r="45" spans="1:9" s="10" customFormat="1" x14ac:dyDescent="0.3">
      <c r="A45" s="10" t="s">
        <v>7</v>
      </c>
      <c r="B45" s="11" t="s">
        <v>9</v>
      </c>
      <c r="C45" s="11" t="s">
        <v>10</v>
      </c>
      <c r="D45" s="11" t="s">
        <v>0</v>
      </c>
      <c r="E45" s="11" t="s">
        <v>12</v>
      </c>
      <c r="F45" s="11" t="s">
        <v>13</v>
      </c>
      <c r="G45" s="43" t="s">
        <v>14</v>
      </c>
      <c r="H45" s="11" t="s">
        <v>15</v>
      </c>
      <c r="I45" s="13" t="s">
        <v>16</v>
      </c>
    </row>
    <row r="46" spans="1:9" x14ac:dyDescent="0.3">
      <c r="A46" s="2" t="s">
        <v>98</v>
      </c>
      <c r="B46" s="1">
        <v>447</v>
      </c>
      <c r="C46" s="3">
        <v>21.428999999999998</v>
      </c>
      <c r="D46" s="3">
        <v>3.0078</v>
      </c>
      <c r="E46" s="3">
        <f>SUM(C46+D46)</f>
        <v>24.436799999999998</v>
      </c>
      <c r="F46" s="3">
        <v>22.183299999999999</v>
      </c>
      <c r="G46" s="40">
        <f>(E46-F46)/D46*100</f>
        <v>74.921869805173174</v>
      </c>
      <c r="H46" s="1">
        <v>21.466799999999999</v>
      </c>
      <c r="I46" s="31">
        <f>(H46-C46)/D46*100</f>
        <v>1.2567324955116936</v>
      </c>
    </row>
    <row r="47" spans="1:9" x14ac:dyDescent="0.3">
      <c r="A47" s="2" t="s">
        <v>99</v>
      </c>
      <c r="B47" s="1">
        <v>347</v>
      </c>
      <c r="C47" s="1">
        <v>29.689900000000002</v>
      </c>
      <c r="D47" s="3">
        <v>3.0074999999999998</v>
      </c>
      <c r="E47" s="3">
        <f t="shared" ref="E47:E55" si="10">SUM(C47+D47)</f>
        <v>32.697400000000002</v>
      </c>
      <c r="F47" s="3">
        <v>30.442</v>
      </c>
      <c r="G47" s="40">
        <f t="shared" ref="G47:G55" si="11">(E47-F47)/D47*100</f>
        <v>74.992518703241956</v>
      </c>
      <c r="H47" s="1">
        <v>29.727900000000002</v>
      </c>
      <c r="I47" s="31">
        <f t="shared" ref="I47:I55" si="12">(H47-C47)/D47*100</f>
        <v>1.2635078969243643</v>
      </c>
    </row>
    <row r="48" spans="1:9" x14ac:dyDescent="0.3">
      <c r="A48" s="2" t="s">
        <v>100</v>
      </c>
      <c r="B48" s="1">
        <v>281</v>
      </c>
      <c r="C48" s="1">
        <v>26.876100000000001</v>
      </c>
      <c r="D48" s="3">
        <v>3.0089999999999999</v>
      </c>
      <c r="E48" s="3">
        <f t="shared" si="10"/>
        <v>29.885100000000001</v>
      </c>
      <c r="F48" s="3">
        <v>27.641300000000001</v>
      </c>
      <c r="G48" s="40">
        <f t="shared" si="11"/>
        <v>74.569624459953488</v>
      </c>
      <c r="H48" s="1">
        <v>26.914899999999999</v>
      </c>
      <c r="I48" s="31">
        <f t="shared" si="12"/>
        <v>1.2894649385177266</v>
      </c>
    </row>
    <row r="49" spans="1:9" x14ac:dyDescent="0.3">
      <c r="A49" s="2" t="s">
        <v>101</v>
      </c>
      <c r="B49" s="1">
        <v>6</v>
      </c>
      <c r="C49" s="3">
        <v>29.6632</v>
      </c>
      <c r="D49" s="3">
        <v>3.0085999999999999</v>
      </c>
      <c r="E49" s="3">
        <f t="shared" si="10"/>
        <v>32.671799999999998</v>
      </c>
      <c r="F49" s="3">
        <v>30.4023</v>
      </c>
      <c r="G49" s="40">
        <f t="shared" si="11"/>
        <v>75.433756564514965</v>
      </c>
      <c r="H49" s="3">
        <v>29.700800000000001</v>
      </c>
      <c r="I49" s="31">
        <f t="shared" si="12"/>
        <v>1.2497507146181344</v>
      </c>
    </row>
    <row r="50" spans="1:9" x14ac:dyDescent="0.3">
      <c r="A50" s="2" t="s">
        <v>102</v>
      </c>
      <c r="B50" s="1">
        <v>240</v>
      </c>
      <c r="C50" s="3">
        <v>29.822500000000002</v>
      </c>
      <c r="D50" s="3">
        <v>3.0102000000000002</v>
      </c>
      <c r="E50" s="3">
        <f t="shared" si="10"/>
        <v>32.832700000000003</v>
      </c>
      <c r="F50" s="3">
        <v>30.581399999999999</v>
      </c>
      <c r="G50" s="40">
        <f t="shared" si="11"/>
        <v>74.789050561424617</v>
      </c>
      <c r="H50" s="1">
        <v>29.8597</v>
      </c>
      <c r="I50" s="31">
        <f t="shared" si="12"/>
        <v>1.2357982858281364</v>
      </c>
    </row>
    <row r="51" spans="1:9" x14ac:dyDescent="0.3">
      <c r="A51" s="2" t="s">
        <v>103</v>
      </c>
      <c r="B51" s="1">
        <v>284</v>
      </c>
      <c r="C51" s="1">
        <v>28.634799999999998</v>
      </c>
      <c r="D51" s="3">
        <v>3.0049999999999999</v>
      </c>
      <c r="E51" s="3">
        <f t="shared" si="10"/>
        <v>31.639799999999997</v>
      </c>
      <c r="F51" s="3">
        <v>29.382200000000001</v>
      </c>
      <c r="G51" s="40">
        <f t="shared" si="11"/>
        <v>75.128119800332655</v>
      </c>
      <c r="H51" s="1">
        <v>28.672899999999998</v>
      </c>
      <c r="I51" s="31">
        <f t="shared" si="12"/>
        <v>1.2678868552412652</v>
      </c>
    </row>
    <row r="52" spans="1:9" x14ac:dyDescent="0.3">
      <c r="A52" s="2" t="s">
        <v>104</v>
      </c>
      <c r="B52" s="1">
        <v>16</v>
      </c>
      <c r="C52" s="1">
        <v>17.820799999999998</v>
      </c>
      <c r="D52" s="3">
        <v>3.0002</v>
      </c>
      <c r="E52" s="3">
        <f t="shared" si="10"/>
        <v>20.820999999999998</v>
      </c>
      <c r="F52" s="3">
        <v>18.541599999999999</v>
      </c>
      <c r="G52" s="40">
        <f t="shared" si="11"/>
        <v>75.974935004333005</v>
      </c>
      <c r="H52" s="1">
        <v>17.857800000000001</v>
      </c>
      <c r="I52" s="31">
        <f t="shared" si="12"/>
        <v>1.2332511165923135</v>
      </c>
    </row>
    <row r="53" spans="1:9" x14ac:dyDescent="0.3">
      <c r="A53" s="2" t="s">
        <v>105</v>
      </c>
      <c r="B53" s="1">
        <v>2</v>
      </c>
      <c r="C53" s="3">
        <v>29.5182</v>
      </c>
      <c r="D53" s="3">
        <v>3.0024999999999999</v>
      </c>
      <c r="E53" s="3">
        <f t="shared" si="10"/>
        <v>32.520699999999998</v>
      </c>
      <c r="F53" s="3">
        <v>30.2865</v>
      </c>
      <c r="G53" s="40">
        <f t="shared" si="11"/>
        <v>74.411323896752634</v>
      </c>
      <c r="H53" s="3">
        <v>29.558</v>
      </c>
      <c r="I53" s="31">
        <f t="shared" si="12"/>
        <v>1.3255620316402867</v>
      </c>
    </row>
    <row r="54" spans="1:9" x14ac:dyDescent="0.3">
      <c r="A54" s="2" t="s">
        <v>106</v>
      </c>
      <c r="B54" s="1">
        <v>295</v>
      </c>
      <c r="C54" s="1">
        <v>27.1295</v>
      </c>
      <c r="D54" s="1">
        <v>3.0019</v>
      </c>
      <c r="E54" s="3">
        <f t="shared" si="10"/>
        <v>30.131399999999999</v>
      </c>
      <c r="F54" s="3">
        <v>27.8612</v>
      </c>
      <c r="G54" s="40">
        <f t="shared" si="11"/>
        <v>75.625437223092007</v>
      </c>
      <c r="H54" s="3">
        <v>27.166899999999998</v>
      </c>
      <c r="I54" s="31">
        <f t="shared" si="12"/>
        <v>1.2458776108464007</v>
      </c>
    </row>
    <row r="55" spans="1:9" x14ac:dyDescent="0.3">
      <c r="A55" s="2" t="s">
        <v>107</v>
      </c>
      <c r="B55" s="1">
        <v>17</v>
      </c>
      <c r="C55" s="1">
        <v>29.797599999999999</v>
      </c>
      <c r="D55" s="3">
        <v>3.0089000000000001</v>
      </c>
      <c r="E55" s="3">
        <f t="shared" si="10"/>
        <v>32.8065</v>
      </c>
      <c r="F55" s="3">
        <v>30.5441</v>
      </c>
      <c r="G55" s="40">
        <f t="shared" si="11"/>
        <v>75.190268869021878</v>
      </c>
      <c r="H55" s="3">
        <v>29.835000000000001</v>
      </c>
      <c r="I55" s="31">
        <f t="shared" si="12"/>
        <v>1.2429791618199892</v>
      </c>
    </row>
    <row r="56" spans="1:9" x14ac:dyDescent="0.3">
      <c r="G56" s="42"/>
    </row>
    <row r="57" spans="1:9" x14ac:dyDescent="0.3">
      <c r="A57" s="8">
        <v>1110926</v>
      </c>
      <c r="G57" s="42"/>
    </row>
    <row r="58" spans="1:9" x14ac:dyDescent="0.3">
      <c r="A58" s="5" t="s">
        <v>8</v>
      </c>
      <c r="C58" s="1"/>
      <c r="D58" s="1"/>
      <c r="E58" s="1"/>
      <c r="F58" s="1"/>
      <c r="G58" s="41"/>
    </row>
    <row r="59" spans="1:9" s="10" customFormat="1" x14ac:dyDescent="0.3">
      <c r="A59" s="10" t="s">
        <v>7</v>
      </c>
      <c r="B59" s="11" t="s">
        <v>9</v>
      </c>
      <c r="C59" s="11" t="s">
        <v>10</v>
      </c>
      <c r="D59" s="11" t="s">
        <v>0</v>
      </c>
      <c r="E59" s="11" t="s">
        <v>12</v>
      </c>
      <c r="F59" s="11" t="s">
        <v>13</v>
      </c>
      <c r="G59" s="43" t="s">
        <v>14</v>
      </c>
      <c r="H59" s="11" t="s">
        <v>15</v>
      </c>
      <c r="I59" s="13" t="s">
        <v>16</v>
      </c>
    </row>
    <row r="60" spans="1:9" x14ac:dyDescent="0.3">
      <c r="A60" s="2" t="s">
        <v>108</v>
      </c>
      <c r="B60" s="1">
        <v>2</v>
      </c>
      <c r="C60" s="3">
        <v>29.515999999999998</v>
      </c>
      <c r="D60" s="3">
        <v>3.0203000000000002</v>
      </c>
      <c r="E60" s="3">
        <f>SUM(C60+D60)</f>
        <v>32.536299999999997</v>
      </c>
      <c r="F60" s="3">
        <v>30.2361</v>
      </c>
      <c r="G60" s="40">
        <f>(E60-F60)/D60*100</f>
        <v>76.157997549912153</v>
      </c>
      <c r="H60" s="1">
        <v>29.552299999999999</v>
      </c>
      <c r="I60" s="31">
        <f t="shared" ref="I60:I64" si="13">(H60-C60)/D60*100</f>
        <v>1.2018673641691442</v>
      </c>
    </row>
    <row r="61" spans="1:9" x14ac:dyDescent="0.3">
      <c r="A61" s="2" t="s">
        <v>109</v>
      </c>
      <c r="B61" s="1">
        <v>79</v>
      </c>
      <c r="C61" s="1">
        <v>28.275099999999998</v>
      </c>
      <c r="D61" s="3">
        <v>2.9967999999999999</v>
      </c>
      <c r="E61" s="3">
        <f t="shared" ref="E61:E64" si="14">SUM(C61+D61)</f>
        <v>31.271899999999999</v>
      </c>
      <c r="F61" s="3">
        <v>29.008900000000001</v>
      </c>
      <c r="G61" s="40">
        <f t="shared" ref="G61:G64" si="15">(E61-F61)/D61*100</f>
        <v>75.513881473571757</v>
      </c>
      <c r="H61" s="1">
        <v>28.3123</v>
      </c>
      <c r="I61" s="31">
        <f t="shared" si="13"/>
        <v>1.2413240790176896</v>
      </c>
    </row>
    <row r="62" spans="1:9" x14ac:dyDescent="0.3">
      <c r="A62" s="2" t="s">
        <v>110</v>
      </c>
      <c r="B62" s="1">
        <v>295</v>
      </c>
      <c r="C62" s="1">
        <v>27.126899999999999</v>
      </c>
      <c r="D62" s="3">
        <v>2.9962</v>
      </c>
      <c r="E62" s="3">
        <f t="shared" si="14"/>
        <v>30.123100000000001</v>
      </c>
      <c r="F62" s="3">
        <v>27.910499999999999</v>
      </c>
      <c r="G62" s="40">
        <f t="shared" si="15"/>
        <v>73.846872705426932</v>
      </c>
      <c r="H62" s="1">
        <v>27.166399999999999</v>
      </c>
      <c r="I62" s="31">
        <f t="shared" si="13"/>
        <v>1.3183365596422238</v>
      </c>
    </row>
    <row r="63" spans="1:9" x14ac:dyDescent="0.3">
      <c r="A63" s="2" t="s">
        <v>111</v>
      </c>
      <c r="B63" s="1">
        <v>17</v>
      </c>
      <c r="C63" s="3">
        <v>29.789300000000001</v>
      </c>
      <c r="D63" s="3">
        <v>3.0167000000000002</v>
      </c>
      <c r="E63" s="3">
        <f t="shared" si="14"/>
        <v>32.805999999999997</v>
      </c>
      <c r="F63" s="3">
        <v>30.580500000000001</v>
      </c>
      <c r="G63" s="40">
        <f t="shared" si="15"/>
        <v>73.772665495408773</v>
      </c>
      <c r="H63" s="3">
        <v>29.8293</v>
      </c>
      <c r="I63" s="31">
        <f t="shared" si="13"/>
        <v>1.3259521994231824</v>
      </c>
    </row>
    <row r="64" spans="1:9" x14ac:dyDescent="0.3">
      <c r="A64" s="2" t="s">
        <v>112</v>
      </c>
      <c r="B64" s="1">
        <v>281</v>
      </c>
      <c r="C64" s="3">
        <v>26.866399999999999</v>
      </c>
      <c r="D64" s="3">
        <v>3.0272000000000001</v>
      </c>
      <c r="E64" s="3">
        <f t="shared" si="14"/>
        <v>29.893599999999999</v>
      </c>
      <c r="F64" s="3">
        <v>27.617999999999999</v>
      </c>
      <c r="G64" s="40">
        <f t="shared" si="15"/>
        <v>75.17177589852011</v>
      </c>
      <c r="H64" s="1">
        <v>26.903500000000001</v>
      </c>
      <c r="I64" s="31">
        <f t="shared" si="13"/>
        <v>1.2255549682876041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55" workbookViewId="0">
      <selection activeCell="G64" sqref="G64:G68"/>
    </sheetView>
  </sheetViews>
  <sheetFormatPr defaultColWidth="9" defaultRowHeight="18" x14ac:dyDescent="0.3"/>
  <cols>
    <col min="1" max="1" width="12" style="2" bestFit="1" customWidth="1"/>
    <col min="2" max="2" width="14" style="2" bestFit="1" customWidth="1"/>
    <col min="3" max="3" width="17.33203125" style="2" bestFit="1" customWidth="1"/>
    <col min="4" max="4" width="29.77734375" style="2" bestFit="1" customWidth="1"/>
    <col min="5" max="5" width="24.44140625" style="2" bestFit="1" customWidth="1"/>
    <col min="6" max="6" width="36.33203125" style="2" customWidth="1"/>
    <col min="7" max="7" width="14.6640625" style="2" bestFit="1" customWidth="1"/>
    <col min="8" max="16384" width="9" style="2"/>
  </cols>
  <sheetData>
    <row r="1" spans="1:7" x14ac:dyDescent="0.3">
      <c r="A1" s="8">
        <v>1110817</v>
      </c>
    </row>
    <row r="2" spans="1:7" x14ac:dyDescent="0.3">
      <c r="A2" s="5" t="s">
        <v>1</v>
      </c>
    </row>
    <row r="3" spans="1:7" x14ac:dyDescent="0.3">
      <c r="A3" s="2" t="s">
        <v>7</v>
      </c>
      <c r="B3" s="1" t="s">
        <v>2</v>
      </c>
      <c r="C3" s="1" t="s">
        <v>3</v>
      </c>
      <c r="D3" s="1" t="s">
        <v>0</v>
      </c>
      <c r="E3" s="1" t="s">
        <v>6</v>
      </c>
      <c r="F3" s="1" t="s">
        <v>4</v>
      </c>
      <c r="G3" s="1" t="s">
        <v>5</v>
      </c>
    </row>
    <row r="4" spans="1:7" x14ac:dyDescent="0.3">
      <c r="A4" s="2" t="s">
        <v>18</v>
      </c>
      <c r="B4" s="2">
        <v>1</v>
      </c>
      <c r="C4" s="1">
        <v>109.15389999999999</v>
      </c>
      <c r="D4" s="6">
        <v>3.0068000000000001</v>
      </c>
      <c r="E4" s="4">
        <f>SUM(C4+D4)</f>
        <v>112.16069999999999</v>
      </c>
      <c r="F4" s="3">
        <v>109.1758</v>
      </c>
      <c r="G4" s="32">
        <f>(F4-C4)/D4*100</f>
        <v>0.72834907542910243</v>
      </c>
    </row>
    <row r="5" spans="1:7" x14ac:dyDescent="0.3">
      <c r="A5" s="2" t="s">
        <v>19</v>
      </c>
      <c r="B5" s="2">
        <v>2</v>
      </c>
      <c r="C5" s="1">
        <v>106.2282</v>
      </c>
      <c r="D5" s="6">
        <v>3.0038</v>
      </c>
      <c r="E5" s="4">
        <f t="shared" ref="E5:E13" si="0">SUM(C5+D5)</f>
        <v>109.232</v>
      </c>
      <c r="F5" s="3">
        <v>106.2488</v>
      </c>
      <c r="G5" s="32">
        <f t="shared" ref="G5:G13" si="1">(F5-C5)/D5*100</f>
        <v>0.68579798921372015</v>
      </c>
    </row>
    <row r="6" spans="1:7" x14ac:dyDescent="0.3">
      <c r="A6" s="2" t="s">
        <v>20</v>
      </c>
      <c r="B6" s="2">
        <v>3</v>
      </c>
      <c r="C6" s="1">
        <v>111.3458</v>
      </c>
      <c r="D6" s="6">
        <v>3.0081000000000002</v>
      </c>
      <c r="E6" s="4">
        <f t="shared" si="0"/>
        <v>114.3539</v>
      </c>
      <c r="F6" s="3">
        <v>111.3961</v>
      </c>
      <c r="G6" s="32">
        <f t="shared" si="1"/>
        <v>1.6721518566539382</v>
      </c>
    </row>
    <row r="7" spans="1:7" x14ac:dyDescent="0.3">
      <c r="A7" s="2" t="s">
        <v>21</v>
      </c>
      <c r="B7" s="2">
        <v>4</v>
      </c>
      <c r="C7" s="1">
        <v>106.1943</v>
      </c>
      <c r="D7" s="6">
        <v>3.0034000000000001</v>
      </c>
      <c r="E7" s="4">
        <f t="shared" si="0"/>
        <v>109.1977</v>
      </c>
      <c r="F7" s="3">
        <v>106.248</v>
      </c>
      <c r="G7" s="32">
        <f t="shared" si="1"/>
        <v>1.7879736298863387</v>
      </c>
    </row>
    <row r="8" spans="1:7" x14ac:dyDescent="0.3">
      <c r="A8" s="2" t="s">
        <v>22</v>
      </c>
      <c r="B8" s="2">
        <v>5</v>
      </c>
      <c r="C8" s="1">
        <v>109.9708</v>
      </c>
      <c r="D8" s="6">
        <v>3.0044</v>
      </c>
      <c r="E8" s="4">
        <f>SUM(C8+D8)</f>
        <v>112.9752</v>
      </c>
      <c r="F8" s="1">
        <v>109.9983</v>
      </c>
      <c r="G8" s="32">
        <f t="shared" si="1"/>
        <v>0.91532419118637365</v>
      </c>
    </row>
    <row r="9" spans="1:7" x14ac:dyDescent="0.3">
      <c r="A9" s="2" t="s">
        <v>23</v>
      </c>
      <c r="B9" s="2">
        <v>6</v>
      </c>
      <c r="C9" s="3">
        <v>103.78</v>
      </c>
      <c r="D9" s="6">
        <v>3.0002</v>
      </c>
      <c r="E9" s="4">
        <f t="shared" si="0"/>
        <v>106.78020000000001</v>
      </c>
      <c r="F9" s="3">
        <v>103.819</v>
      </c>
      <c r="G9" s="32">
        <f t="shared" si="1"/>
        <v>1.2999133391107751</v>
      </c>
    </row>
    <row r="10" spans="1:7" x14ac:dyDescent="0.3">
      <c r="A10" s="2" t="s">
        <v>24</v>
      </c>
      <c r="B10" s="2">
        <v>7</v>
      </c>
      <c r="C10" s="1">
        <v>107.6802</v>
      </c>
      <c r="D10" s="6">
        <v>3.0205000000000002</v>
      </c>
      <c r="E10" s="4">
        <f t="shared" si="0"/>
        <v>110.7007</v>
      </c>
      <c r="F10" s="1">
        <v>107.70610000000001</v>
      </c>
      <c r="G10" s="32">
        <f t="shared" si="1"/>
        <v>0.85747392815782608</v>
      </c>
    </row>
    <row r="11" spans="1:7" x14ac:dyDescent="0.3">
      <c r="A11" s="2" t="s">
        <v>25</v>
      </c>
      <c r="B11" s="2">
        <v>8</v>
      </c>
      <c r="C11" s="1">
        <v>106.2914</v>
      </c>
      <c r="D11" s="6">
        <v>3.0146999999999999</v>
      </c>
      <c r="E11" s="4">
        <f t="shared" si="0"/>
        <v>109.3061</v>
      </c>
      <c r="F11" s="1">
        <v>106.33029999999999</v>
      </c>
      <c r="G11" s="32">
        <f t="shared" si="1"/>
        <v>1.2903439811589266</v>
      </c>
    </row>
    <row r="12" spans="1:7" x14ac:dyDescent="0.3">
      <c r="A12" s="2" t="s">
        <v>26</v>
      </c>
      <c r="B12" s="2">
        <v>9</v>
      </c>
      <c r="C12" s="1">
        <v>106.2777</v>
      </c>
      <c r="D12" s="1">
        <v>2.9977</v>
      </c>
      <c r="E12" s="4">
        <f t="shared" si="0"/>
        <v>109.27539999999999</v>
      </c>
      <c r="F12" s="1">
        <v>106.3017</v>
      </c>
      <c r="G12" s="32">
        <f t="shared" si="1"/>
        <v>0.80061380391636616</v>
      </c>
    </row>
    <row r="13" spans="1:7" x14ac:dyDescent="0.3">
      <c r="A13" s="2" t="s">
        <v>27</v>
      </c>
      <c r="B13" s="2">
        <v>10</v>
      </c>
      <c r="C13" s="1">
        <v>106.1468</v>
      </c>
      <c r="D13" s="1">
        <v>3.0019</v>
      </c>
      <c r="E13" s="4">
        <f t="shared" si="0"/>
        <v>109.14870000000001</v>
      </c>
      <c r="F13" s="1">
        <v>106.1781</v>
      </c>
      <c r="G13" s="32">
        <f t="shared" si="1"/>
        <v>1.0426729737833258</v>
      </c>
    </row>
    <row r="14" spans="1:7" x14ac:dyDescent="0.3">
      <c r="A14" s="2" t="s">
        <v>17</v>
      </c>
      <c r="B14" s="2">
        <v>0</v>
      </c>
      <c r="C14" s="3">
        <v>106.486</v>
      </c>
      <c r="D14" s="1">
        <v>0</v>
      </c>
      <c r="E14" s="4">
        <f>SUM(C14+D14)</f>
        <v>106.486</v>
      </c>
      <c r="F14" s="1">
        <v>106.48860000000001</v>
      </c>
      <c r="G14" s="9">
        <v>0</v>
      </c>
    </row>
    <row r="15" spans="1:7" x14ac:dyDescent="0.3">
      <c r="E15" s="4"/>
    </row>
    <row r="16" spans="1:7" x14ac:dyDescent="0.3">
      <c r="A16" s="8">
        <v>1110907</v>
      </c>
    </row>
    <row r="17" spans="1:7" x14ac:dyDescent="0.3">
      <c r="A17" s="5" t="s">
        <v>1</v>
      </c>
    </row>
    <row r="18" spans="1:7" x14ac:dyDescent="0.3">
      <c r="A18" s="2" t="s">
        <v>7</v>
      </c>
      <c r="B18" s="1" t="s">
        <v>2</v>
      </c>
      <c r="C18" s="1" t="s">
        <v>3</v>
      </c>
      <c r="D18" s="1" t="s">
        <v>0</v>
      </c>
      <c r="E18" s="1" t="s">
        <v>6</v>
      </c>
      <c r="F18" s="1" t="s">
        <v>4</v>
      </c>
      <c r="G18" s="1" t="s">
        <v>5</v>
      </c>
    </row>
    <row r="19" spans="1:7" x14ac:dyDescent="0.3">
      <c r="A19" s="2" t="s">
        <v>37</v>
      </c>
      <c r="B19" s="2">
        <v>1</v>
      </c>
      <c r="C19" s="1">
        <v>109.1525</v>
      </c>
      <c r="D19" s="6">
        <v>3.0303</v>
      </c>
      <c r="E19" s="4">
        <f>SUM(C19+D19)</f>
        <v>112.1828</v>
      </c>
      <c r="F19" s="3">
        <v>109.17359999999999</v>
      </c>
      <c r="G19" s="32">
        <f t="shared" ref="G19:G28" si="2">(F19-C19)/D19*100</f>
        <v>0.69630069630036318</v>
      </c>
    </row>
    <row r="20" spans="1:7" x14ac:dyDescent="0.3">
      <c r="A20" s="2" t="s">
        <v>39</v>
      </c>
      <c r="B20" s="2">
        <v>2</v>
      </c>
      <c r="C20" s="1">
        <v>106.22709999999999</v>
      </c>
      <c r="D20" s="6">
        <v>3.0436999999999999</v>
      </c>
      <c r="E20" s="4">
        <f t="shared" ref="E20:E22" si="3">SUM(C20+D20)</f>
        <v>109.27079999999999</v>
      </c>
      <c r="F20" s="3">
        <v>106.24890000000001</v>
      </c>
      <c r="G20" s="32">
        <f t="shared" si="2"/>
        <v>0.71623353155741842</v>
      </c>
    </row>
    <row r="21" spans="1:7" x14ac:dyDescent="0.3">
      <c r="A21" s="2" t="s">
        <v>41</v>
      </c>
      <c r="B21" s="2">
        <v>3</v>
      </c>
      <c r="C21" s="1">
        <v>111.34269999999999</v>
      </c>
      <c r="D21" s="6">
        <v>3.0198999999999998</v>
      </c>
      <c r="E21" s="4">
        <f t="shared" si="3"/>
        <v>114.36259999999999</v>
      </c>
      <c r="F21" s="3">
        <v>111.3719</v>
      </c>
      <c r="G21" s="32">
        <f t="shared" si="2"/>
        <v>0.96691943441845773</v>
      </c>
    </row>
    <row r="22" spans="1:7" x14ac:dyDescent="0.3">
      <c r="A22" s="2" t="s">
        <v>28</v>
      </c>
      <c r="B22" s="2">
        <v>4</v>
      </c>
      <c r="C22" s="1">
        <v>106.1931</v>
      </c>
      <c r="D22" s="6">
        <v>2.9891999999999999</v>
      </c>
      <c r="E22" s="4">
        <f t="shared" si="3"/>
        <v>109.1823</v>
      </c>
      <c r="F22" s="3">
        <v>106.22329999999999</v>
      </c>
      <c r="G22" s="32">
        <f t="shared" si="2"/>
        <v>1.0103037602031837</v>
      </c>
    </row>
    <row r="23" spans="1:7" x14ac:dyDescent="0.3">
      <c r="A23" s="2" t="s">
        <v>44</v>
      </c>
      <c r="B23" s="2">
        <v>5</v>
      </c>
      <c r="C23" s="1">
        <v>109.9706</v>
      </c>
      <c r="D23" s="6">
        <v>3.0053000000000001</v>
      </c>
      <c r="E23" s="4">
        <f>SUM(C23+D23)</f>
        <v>112.97590000000001</v>
      </c>
      <c r="F23" s="1">
        <v>109.99630000000001</v>
      </c>
      <c r="G23" s="32">
        <f t="shared" si="2"/>
        <v>0.85515589125879277</v>
      </c>
    </row>
    <row r="24" spans="1:7" x14ac:dyDescent="0.3">
      <c r="A24" s="2" t="s">
        <v>45</v>
      </c>
      <c r="B24" s="2">
        <v>6</v>
      </c>
      <c r="C24" s="1">
        <v>103.7783</v>
      </c>
      <c r="D24" s="6">
        <v>3.0449999999999999</v>
      </c>
      <c r="E24" s="4">
        <f t="shared" ref="E24:E29" si="4">SUM(C24+D24)</f>
        <v>106.8233</v>
      </c>
      <c r="F24" s="3">
        <v>103.80119999999999</v>
      </c>
      <c r="G24" s="32">
        <f t="shared" si="2"/>
        <v>0.75205254515575748</v>
      </c>
    </row>
    <row r="25" spans="1:7" x14ac:dyDescent="0.3">
      <c r="A25" s="2" t="s">
        <v>46</v>
      </c>
      <c r="B25" s="2">
        <v>7</v>
      </c>
      <c r="C25" s="1">
        <v>107.67910000000001</v>
      </c>
      <c r="D25" s="6">
        <v>2.9994000000000001</v>
      </c>
      <c r="E25" s="4">
        <f t="shared" si="4"/>
        <v>110.6785</v>
      </c>
      <c r="F25" s="3">
        <v>107.712</v>
      </c>
      <c r="G25" s="32">
        <f t="shared" si="2"/>
        <v>1.0968860438753729</v>
      </c>
    </row>
    <row r="26" spans="1:7" x14ac:dyDescent="0.3">
      <c r="A26" s="2" t="s">
        <v>47</v>
      </c>
      <c r="B26" s="2">
        <v>8</v>
      </c>
      <c r="C26" s="3">
        <v>106.29</v>
      </c>
      <c r="D26" s="6">
        <v>3.0289000000000001</v>
      </c>
      <c r="E26" s="4">
        <f t="shared" si="4"/>
        <v>109.31890000000001</v>
      </c>
      <c r="F26" s="1">
        <v>106.33240000000001</v>
      </c>
      <c r="G26" s="32">
        <f t="shared" si="2"/>
        <v>1.3998481296840655</v>
      </c>
    </row>
    <row r="27" spans="1:7" x14ac:dyDescent="0.3">
      <c r="A27" s="2" t="s">
        <v>43</v>
      </c>
      <c r="B27" s="2">
        <v>9</v>
      </c>
      <c r="C27" s="1">
        <v>106.2762</v>
      </c>
      <c r="D27" s="1">
        <v>3.0322</v>
      </c>
      <c r="E27" s="4">
        <f t="shared" si="4"/>
        <v>109.30840000000001</v>
      </c>
      <c r="F27" s="1">
        <v>106.3137</v>
      </c>
      <c r="G27" s="32">
        <f t="shared" si="2"/>
        <v>1.2367258096429758</v>
      </c>
    </row>
    <row r="28" spans="1:7" x14ac:dyDescent="0.3">
      <c r="A28" s="2" t="s">
        <v>29</v>
      </c>
      <c r="B28" s="2">
        <v>10</v>
      </c>
      <c r="C28" s="1">
        <v>106.14360000000001</v>
      </c>
      <c r="D28" s="1">
        <v>3.0284</v>
      </c>
      <c r="E28" s="4">
        <f t="shared" si="4"/>
        <v>109.17200000000001</v>
      </c>
      <c r="F28" s="1">
        <v>106.1656</v>
      </c>
      <c r="G28" s="32">
        <f t="shared" si="2"/>
        <v>0.72645621450242237</v>
      </c>
    </row>
    <row r="29" spans="1:7" x14ac:dyDescent="0.3">
      <c r="A29" s="2" t="s">
        <v>17</v>
      </c>
      <c r="B29" s="2">
        <v>0</v>
      </c>
      <c r="C29" s="1">
        <v>106.4838</v>
      </c>
      <c r="D29" s="1">
        <v>0</v>
      </c>
      <c r="E29" s="4">
        <f t="shared" si="4"/>
        <v>106.4838</v>
      </c>
      <c r="F29" s="1">
        <v>106.4836</v>
      </c>
      <c r="G29" s="9">
        <v>0</v>
      </c>
    </row>
    <row r="31" spans="1:7" x14ac:dyDescent="0.3">
      <c r="A31" s="8">
        <v>1110915</v>
      </c>
    </row>
    <row r="32" spans="1:7" x14ac:dyDescent="0.3">
      <c r="A32" s="5" t="s">
        <v>1</v>
      </c>
    </row>
    <row r="33" spans="1:7" x14ac:dyDescent="0.3">
      <c r="A33" s="2" t="s">
        <v>7</v>
      </c>
      <c r="B33" s="1" t="s">
        <v>2</v>
      </c>
      <c r="C33" s="1" t="s">
        <v>3</v>
      </c>
      <c r="D33" s="1" t="s">
        <v>0</v>
      </c>
      <c r="E33" s="1" t="s">
        <v>6</v>
      </c>
      <c r="F33" s="1" t="s">
        <v>4</v>
      </c>
      <c r="G33" s="1" t="s">
        <v>5</v>
      </c>
    </row>
    <row r="34" spans="1:7" x14ac:dyDescent="0.3">
      <c r="A34" s="2" t="s">
        <v>61</v>
      </c>
      <c r="B34" s="2">
        <v>1</v>
      </c>
      <c r="C34" s="1">
        <v>109.1525</v>
      </c>
      <c r="D34" s="6">
        <v>2.9903</v>
      </c>
      <c r="E34" s="4">
        <f>SUM(C34+D34)</f>
        <v>112.14280000000001</v>
      </c>
      <c r="F34" s="3">
        <v>109.1784</v>
      </c>
      <c r="G34" s="32">
        <f t="shared" ref="G34:G43" si="5">(F34-C34)/D34*100</f>
        <v>0.86613383272557709</v>
      </c>
    </row>
    <row r="35" spans="1:7" x14ac:dyDescent="0.3">
      <c r="A35" s="2" t="s">
        <v>62</v>
      </c>
      <c r="B35" s="2">
        <v>2</v>
      </c>
      <c r="C35" s="3">
        <v>106.2265</v>
      </c>
      <c r="D35" s="6">
        <v>3.0135999999999998</v>
      </c>
      <c r="E35" s="4">
        <f t="shared" ref="E35:E37" si="6">SUM(C35+D35)</f>
        <v>109.2401</v>
      </c>
      <c r="F35" s="3">
        <v>106.271</v>
      </c>
      <c r="G35" s="32">
        <f t="shared" si="5"/>
        <v>1.4766392354658655</v>
      </c>
    </row>
    <row r="36" spans="1:7" x14ac:dyDescent="0.3">
      <c r="A36" s="2" t="s">
        <v>31</v>
      </c>
      <c r="B36" s="2">
        <v>3</v>
      </c>
      <c r="C36" s="1">
        <v>111.3416</v>
      </c>
      <c r="D36" s="6">
        <v>2.9819</v>
      </c>
      <c r="E36" s="4">
        <f t="shared" si="6"/>
        <v>114.3235</v>
      </c>
      <c r="F36" s="3">
        <v>111.37139999999999</v>
      </c>
      <c r="G36" s="32">
        <f t="shared" si="5"/>
        <v>0.99936282236139706</v>
      </c>
    </row>
    <row r="37" spans="1:7" x14ac:dyDescent="0.3">
      <c r="A37" s="2" t="s">
        <v>63</v>
      </c>
      <c r="B37" s="2">
        <v>4</v>
      </c>
      <c r="C37" s="1">
        <v>106.193</v>
      </c>
      <c r="D37" s="6">
        <v>3.0366</v>
      </c>
      <c r="E37" s="4">
        <f t="shared" si="6"/>
        <v>109.2296</v>
      </c>
      <c r="F37" s="3">
        <v>106.24299999999999</v>
      </c>
      <c r="G37" s="32">
        <f t="shared" si="5"/>
        <v>1.6465784100637937</v>
      </c>
    </row>
    <row r="38" spans="1:7" x14ac:dyDescent="0.3">
      <c r="A38" s="2" t="s">
        <v>32</v>
      </c>
      <c r="B38" s="2">
        <v>5</v>
      </c>
      <c r="C38" s="3">
        <v>109.97</v>
      </c>
      <c r="D38" s="6">
        <v>3.0484</v>
      </c>
      <c r="E38" s="4">
        <f>SUM(C38+D38)</f>
        <v>113.0184</v>
      </c>
      <c r="F38" s="1">
        <v>110.01009999999999</v>
      </c>
      <c r="G38" s="32">
        <f t="shared" si="5"/>
        <v>1.3154441674319433</v>
      </c>
    </row>
    <row r="39" spans="1:7" x14ac:dyDescent="0.3">
      <c r="A39" s="2" t="s">
        <v>33</v>
      </c>
      <c r="B39" s="2">
        <v>6</v>
      </c>
      <c r="C39" s="1">
        <v>103.7783</v>
      </c>
      <c r="D39" s="6">
        <v>3.0148999999999999</v>
      </c>
      <c r="E39" s="4">
        <f t="shared" ref="E39:E44" si="7">SUM(C39+D39)</f>
        <v>106.7932</v>
      </c>
      <c r="F39" s="3">
        <v>103.8111</v>
      </c>
      <c r="G39" s="32">
        <f t="shared" si="5"/>
        <v>1.0879299479251257</v>
      </c>
    </row>
    <row r="40" spans="1:7" x14ac:dyDescent="0.3">
      <c r="A40" s="2" t="s">
        <v>34</v>
      </c>
      <c r="B40" s="2">
        <v>7</v>
      </c>
      <c r="C40" s="1">
        <v>107.6785</v>
      </c>
      <c r="D40" s="6">
        <v>3.0234000000000001</v>
      </c>
      <c r="E40" s="4">
        <f t="shared" si="7"/>
        <v>110.70189999999999</v>
      </c>
      <c r="F40" s="1">
        <v>107.7242</v>
      </c>
      <c r="G40" s="32">
        <f t="shared" si="5"/>
        <v>1.5115432956273243</v>
      </c>
    </row>
    <row r="41" spans="1:7" x14ac:dyDescent="0.3">
      <c r="A41" s="2" t="s">
        <v>64</v>
      </c>
      <c r="B41" s="2">
        <v>8</v>
      </c>
      <c r="C41" s="1">
        <v>106.2903</v>
      </c>
      <c r="D41" s="6">
        <v>3.0173999999999999</v>
      </c>
      <c r="E41" s="4">
        <f t="shared" si="7"/>
        <v>109.3077</v>
      </c>
      <c r="F41" s="1">
        <v>106.3261</v>
      </c>
      <c r="G41" s="32">
        <f t="shared" si="5"/>
        <v>1.1864519122421531</v>
      </c>
    </row>
    <row r="42" spans="1:7" x14ac:dyDescent="0.3">
      <c r="A42" s="2" t="s">
        <v>65</v>
      </c>
      <c r="B42" s="2">
        <v>9</v>
      </c>
      <c r="C42" s="1">
        <v>106.2764</v>
      </c>
      <c r="D42" s="6">
        <v>3.0110999999999999</v>
      </c>
      <c r="E42" s="4">
        <f t="shared" si="7"/>
        <v>109.28749999999999</v>
      </c>
      <c r="F42" s="1">
        <v>106.3142</v>
      </c>
      <c r="G42" s="32">
        <f t="shared" si="5"/>
        <v>1.2553551858126357</v>
      </c>
    </row>
    <row r="43" spans="1:7" x14ac:dyDescent="0.3">
      <c r="A43" s="2" t="s">
        <v>36</v>
      </c>
      <c r="B43" s="2">
        <v>10</v>
      </c>
      <c r="C43" s="1">
        <v>106.1433</v>
      </c>
      <c r="D43" s="6">
        <v>2.9946000000000002</v>
      </c>
      <c r="E43" s="4">
        <f>SUM(C43+D43)</f>
        <v>109.1379</v>
      </c>
      <c r="F43" s="1">
        <v>106.18129999999999</v>
      </c>
      <c r="G43" s="32">
        <f t="shared" si="5"/>
        <v>1.2689507780670775</v>
      </c>
    </row>
    <row r="44" spans="1:7" x14ac:dyDescent="0.3">
      <c r="A44" s="2" t="s">
        <v>17</v>
      </c>
      <c r="B44" s="2">
        <v>0</v>
      </c>
      <c r="C44" s="1">
        <v>106.4829</v>
      </c>
      <c r="D44" s="2">
        <v>0</v>
      </c>
      <c r="E44" s="2">
        <f t="shared" si="7"/>
        <v>106.4829</v>
      </c>
      <c r="F44" s="1">
        <v>106.4854</v>
      </c>
      <c r="G44" s="9">
        <v>0</v>
      </c>
    </row>
    <row r="46" spans="1:7" x14ac:dyDescent="0.3">
      <c r="A46" s="8">
        <v>1110920</v>
      </c>
    </row>
    <row r="47" spans="1:7" x14ac:dyDescent="0.3">
      <c r="A47" s="5" t="s">
        <v>1</v>
      </c>
    </row>
    <row r="48" spans="1:7" x14ac:dyDescent="0.3">
      <c r="A48" s="2" t="s">
        <v>7</v>
      </c>
      <c r="B48" s="1" t="s">
        <v>2</v>
      </c>
      <c r="C48" s="1" t="s">
        <v>3</v>
      </c>
      <c r="D48" s="1" t="s">
        <v>0</v>
      </c>
      <c r="E48" s="1" t="s">
        <v>6</v>
      </c>
      <c r="F48" s="1" t="s">
        <v>4</v>
      </c>
      <c r="G48" s="1" t="s">
        <v>5</v>
      </c>
    </row>
    <row r="49" spans="1:7" x14ac:dyDescent="0.3">
      <c r="A49" s="2" t="s">
        <v>98</v>
      </c>
      <c r="B49" s="2">
        <v>1</v>
      </c>
      <c r="C49" s="6">
        <v>109.15430000000001</v>
      </c>
      <c r="D49" s="6">
        <v>3.0131999999999999</v>
      </c>
      <c r="E49" s="4">
        <f>SUM(C49+D49)</f>
        <v>112.1675</v>
      </c>
      <c r="F49" s="3">
        <v>109.17919999999999</v>
      </c>
      <c r="G49" s="32">
        <f t="shared" ref="G49:G58" si="8">(F49-C49)/D49*100</f>
        <v>0.82636399840661601</v>
      </c>
    </row>
    <row r="50" spans="1:7" x14ac:dyDescent="0.3">
      <c r="A50" s="2" t="s">
        <v>99</v>
      </c>
      <c r="B50" s="2">
        <v>2</v>
      </c>
      <c r="C50" s="6">
        <v>106.2274</v>
      </c>
      <c r="D50" s="6">
        <v>2.9956</v>
      </c>
      <c r="E50" s="4">
        <f t="shared" ref="E50:E52" si="9">SUM(C50+D50)</f>
        <v>109.223</v>
      </c>
      <c r="F50" s="3">
        <v>106.2569</v>
      </c>
      <c r="G50" s="32">
        <f t="shared" si="8"/>
        <v>0.98477767392171012</v>
      </c>
    </row>
    <row r="51" spans="1:7" x14ac:dyDescent="0.3">
      <c r="A51" s="2" t="s">
        <v>100</v>
      </c>
      <c r="B51" s="2">
        <v>3</v>
      </c>
      <c r="C51" s="6">
        <v>111.343</v>
      </c>
      <c r="D51" s="6">
        <v>3.0005000000000002</v>
      </c>
      <c r="E51" s="4">
        <f t="shared" si="9"/>
        <v>114.34350000000001</v>
      </c>
      <c r="F51" s="3">
        <v>111.3874</v>
      </c>
      <c r="G51" s="32">
        <f t="shared" si="8"/>
        <v>1.4797533744374602</v>
      </c>
    </row>
    <row r="52" spans="1:7" x14ac:dyDescent="0.3">
      <c r="A52" s="2" t="s">
        <v>101</v>
      </c>
      <c r="B52" s="2">
        <v>4</v>
      </c>
      <c r="C52" s="6">
        <v>106.1935</v>
      </c>
      <c r="D52" s="6">
        <v>3.0061</v>
      </c>
      <c r="E52" s="4">
        <f t="shared" si="9"/>
        <v>109.1996</v>
      </c>
      <c r="F52" s="3">
        <v>106.2296</v>
      </c>
      <c r="G52" s="32">
        <f t="shared" si="8"/>
        <v>1.200891520574987</v>
      </c>
    </row>
    <row r="53" spans="1:7" x14ac:dyDescent="0.3">
      <c r="A53" s="2" t="s">
        <v>102</v>
      </c>
      <c r="B53" s="2">
        <v>5</v>
      </c>
      <c r="C53" s="6">
        <v>109.9706</v>
      </c>
      <c r="D53" s="6">
        <v>3.0005000000000002</v>
      </c>
      <c r="E53" s="4">
        <f>SUM(C53+D53)</f>
        <v>112.97110000000001</v>
      </c>
      <c r="F53" s="1">
        <v>110.00700000000001</v>
      </c>
      <c r="G53" s="32">
        <f t="shared" si="8"/>
        <v>1.2131311448092128</v>
      </c>
    </row>
    <row r="54" spans="1:7" x14ac:dyDescent="0.3">
      <c r="A54" s="2" t="s">
        <v>103</v>
      </c>
      <c r="B54" s="2">
        <v>6</v>
      </c>
      <c r="C54" s="6">
        <v>103.77800000000001</v>
      </c>
      <c r="D54" s="6">
        <v>3.0106999999999999</v>
      </c>
      <c r="E54" s="4">
        <f t="shared" ref="E54:E57" si="10">SUM(C54+D54)</f>
        <v>106.78870000000001</v>
      </c>
      <c r="F54" s="3">
        <v>103.8058</v>
      </c>
      <c r="G54" s="32">
        <f t="shared" si="8"/>
        <v>0.92337330188989808</v>
      </c>
    </row>
    <row r="55" spans="1:7" x14ac:dyDescent="0.3">
      <c r="A55" s="2" t="s">
        <v>104</v>
      </c>
      <c r="B55" s="2">
        <v>7</v>
      </c>
      <c r="C55" s="6">
        <v>107.67829999999999</v>
      </c>
      <c r="D55" s="6">
        <v>3.0101</v>
      </c>
      <c r="E55" s="4">
        <f t="shared" si="10"/>
        <v>110.68839999999999</v>
      </c>
      <c r="F55" s="1">
        <v>107.7099</v>
      </c>
      <c r="G55" s="32">
        <f t="shared" si="8"/>
        <v>1.0497990100000538</v>
      </c>
    </row>
    <row r="56" spans="1:7" x14ac:dyDescent="0.3">
      <c r="A56" s="2" t="s">
        <v>105</v>
      </c>
      <c r="B56" s="2">
        <v>8</v>
      </c>
      <c r="C56" s="6">
        <v>106.2891</v>
      </c>
      <c r="D56" s="6">
        <v>3.0097</v>
      </c>
      <c r="E56" s="4">
        <f t="shared" si="10"/>
        <v>109.2988</v>
      </c>
      <c r="F56" s="1">
        <v>106.3188</v>
      </c>
      <c r="G56" s="32">
        <f t="shared" si="8"/>
        <v>0.98680931654288384</v>
      </c>
    </row>
    <row r="57" spans="1:7" x14ac:dyDescent="0.3">
      <c r="A57" s="2" t="s">
        <v>106</v>
      </c>
      <c r="B57" s="2">
        <v>9</v>
      </c>
      <c r="C57" s="6">
        <v>106.2761</v>
      </c>
      <c r="D57" s="6">
        <v>3.0152000000000001</v>
      </c>
      <c r="E57" s="4">
        <f t="shared" si="10"/>
        <v>109.29130000000001</v>
      </c>
      <c r="F57" s="1">
        <v>106.32559999999999</v>
      </c>
      <c r="G57" s="32">
        <f t="shared" si="8"/>
        <v>1.6416821438045495</v>
      </c>
    </row>
    <row r="58" spans="1:7" x14ac:dyDescent="0.3">
      <c r="A58" s="2" t="s">
        <v>107</v>
      </c>
      <c r="B58" s="2">
        <v>10</v>
      </c>
      <c r="C58" s="6">
        <v>106.1435</v>
      </c>
      <c r="D58" s="6">
        <v>3.0141</v>
      </c>
      <c r="E58" s="4">
        <f>SUM(C58+D58)</f>
        <v>109.1576</v>
      </c>
      <c r="F58" s="1">
        <v>106.1769</v>
      </c>
      <c r="G58" s="32">
        <f t="shared" si="8"/>
        <v>1.1081251451511336</v>
      </c>
    </row>
    <row r="59" spans="1:7" x14ac:dyDescent="0.3">
      <c r="A59" s="2" t="s">
        <v>17</v>
      </c>
      <c r="B59" s="2">
        <v>0</v>
      </c>
      <c r="C59" s="1">
        <v>106.48390000000001</v>
      </c>
      <c r="D59" s="2">
        <v>0</v>
      </c>
      <c r="E59" s="2">
        <f t="shared" ref="E59" si="11">SUM(C59+D59)</f>
        <v>106.48390000000001</v>
      </c>
      <c r="F59" s="1">
        <v>106.4841</v>
      </c>
      <c r="G59" s="9">
        <v>0</v>
      </c>
    </row>
    <row r="61" spans="1:7" x14ac:dyDescent="0.3">
      <c r="A61" s="8">
        <v>1110926</v>
      </c>
    </row>
    <row r="62" spans="1:7" x14ac:dyDescent="0.3">
      <c r="A62" s="5" t="s">
        <v>1</v>
      </c>
    </row>
    <row r="63" spans="1:7" x14ac:dyDescent="0.3">
      <c r="A63" s="2" t="s">
        <v>7</v>
      </c>
      <c r="B63" s="1" t="s">
        <v>2</v>
      </c>
      <c r="C63" s="1" t="s">
        <v>3</v>
      </c>
      <c r="D63" s="1" t="s">
        <v>0</v>
      </c>
      <c r="E63" s="1" t="s">
        <v>6</v>
      </c>
      <c r="F63" s="1" t="s">
        <v>4</v>
      </c>
      <c r="G63" s="1" t="s">
        <v>5</v>
      </c>
    </row>
    <row r="64" spans="1:7" x14ac:dyDescent="0.3">
      <c r="A64" s="2" t="s">
        <v>108</v>
      </c>
      <c r="B64" s="2">
        <v>1</v>
      </c>
      <c r="C64" s="6">
        <v>109.1523</v>
      </c>
      <c r="D64" s="6">
        <v>3.012</v>
      </c>
      <c r="E64" s="4">
        <f>SUM(C64+D64)</f>
        <v>112.1643</v>
      </c>
      <c r="F64" s="3">
        <v>109.17959999999999</v>
      </c>
      <c r="G64" s="32">
        <f t="shared" ref="G64:G68" si="12">(F64-C64)/D64*100</f>
        <v>0.90637450199192471</v>
      </c>
    </row>
    <row r="65" spans="1:7" x14ac:dyDescent="0.3">
      <c r="A65" s="2" t="s">
        <v>109</v>
      </c>
      <c r="B65" s="2">
        <v>2</v>
      </c>
      <c r="C65" s="6">
        <v>106.22629999999999</v>
      </c>
      <c r="D65" s="6">
        <v>3.0030999999999999</v>
      </c>
      <c r="E65" s="4">
        <f t="shared" ref="E65:E67" si="13">SUM(C65+D65)</f>
        <v>109.2294</v>
      </c>
      <c r="F65" s="3">
        <v>106.25620000000001</v>
      </c>
      <c r="G65" s="32">
        <f t="shared" si="12"/>
        <v>0.99563784089813956</v>
      </c>
    </row>
    <row r="66" spans="1:7" x14ac:dyDescent="0.3">
      <c r="A66" s="2" t="s">
        <v>110</v>
      </c>
      <c r="B66" s="2">
        <v>3</v>
      </c>
      <c r="C66" s="6">
        <v>111.3417</v>
      </c>
      <c r="D66" s="6">
        <v>3.0173999999999999</v>
      </c>
      <c r="E66" s="4">
        <f t="shared" si="13"/>
        <v>114.3591</v>
      </c>
      <c r="F66" s="3">
        <v>111.37309999999999</v>
      </c>
      <c r="G66" s="32">
        <f t="shared" si="12"/>
        <v>1.0406310068267639</v>
      </c>
    </row>
    <row r="67" spans="1:7" x14ac:dyDescent="0.3">
      <c r="A67" s="2" t="s">
        <v>111</v>
      </c>
      <c r="B67" s="2">
        <v>4</v>
      </c>
      <c r="C67" s="6">
        <v>106.1922</v>
      </c>
      <c r="D67" s="6">
        <v>3.0045000000000002</v>
      </c>
      <c r="E67" s="4">
        <f t="shared" si="13"/>
        <v>109.19669999999999</v>
      </c>
      <c r="F67" s="3">
        <v>106.23390000000001</v>
      </c>
      <c r="G67" s="32">
        <f t="shared" si="12"/>
        <v>1.3879181228159707</v>
      </c>
    </row>
    <row r="68" spans="1:7" x14ac:dyDescent="0.3">
      <c r="A68" s="2" t="s">
        <v>112</v>
      </c>
      <c r="B68" s="2">
        <v>5</v>
      </c>
      <c r="C68" s="6">
        <v>109.96939999999999</v>
      </c>
      <c r="D68" s="6">
        <v>3.0236999999999998</v>
      </c>
      <c r="E68" s="4">
        <f>SUM(C68+D68)</f>
        <v>112.9931</v>
      </c>
      <c r="F68" s="1">
        <v>110.0129</v>
      </c>
      <c r="G68" s="32">
        <f t="shared" si="12"/>
        <v>1.4386347851972336</v>
      </c>
    </row>
    <row r="69" spans="1:7" x14ac:dyDescent="0.3">
      <c r="A69" s="2" t="s">
        <v>17</v>
      </c>
      <c r="B69" s="2">
        <v>0</v>
      </c>
      <c r="C69" s="1">
        <v>106.48269999999999</v>
      </c>
      <c r="D69" s="6">
        <v>0</v>
      </c>
      <c r="E69" s="4">
        <f>SUM(C69+D69)</f>
        <v>106.48269999999999</v>
      </c>
      <c r="F69" s="3">
        <v>106.48520000000001</v>
      </c>
      <c r="G69" s="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7"/>
  <sheetViews>
    <sheetView tabSelected="1" zoomScale="145" zoomScaleNormal="145" workbookViewId="0">
      <selection activeCell="G3" sqref="G3:G47"/>
    </sheetView>
  </sheetViews>
  <sheetFormatPr defaultColWidth="9.77734375" defaultRowHeight="15.6" x14ac:dyDescent="0.3"/>
  <cols>
    <col min="1" max="1" width="9.77734375" style="33"/>
    <col min="2" max="2" width="11.88671875" style="33" customWidth="1"/>
    <col min="3" max="3" width="14.109375" style="35" customWidth="1"/>
    <col min="4" max="4" width="9.77734375" style="36"/>
    <col min="5" max="5" width="9.77734375" style="37"/>
    <col min="6" max="6" width="9.77734375" style="38"/>
    <col min="7" max="16384" width="9.77734375" style="39"/>
  </cols>
  <sheetData>
    <row r="2" spans="1:7" x14ac:dyDescent="0.3">
      <c r="A2" s="33" t="s">
        <v>113</v>
      </c>
      <c r="B2" s="34" t="s">
        <v>114</v>
      </c>
      <c r="C2" s="35" t="s">
        <v>115</v>
      </c>
      <c r="D2" s="36" t="s">
        <v>116</v>
      </c>
      <c r="E2" s="37" t="s">
        <v>117</v>
      </c>
      <c r="F2" s="38" t="s">
        <v>118</v>
      </c>
    </row>
    <row r="3" spans="1:7" x14ac:dyDescent="0.3">
      <c r="A3" s="33">
        <v>1110817</v>
      </c>
      <c r="B3" s="33" t="s">
        <v>119</v>
      </c>
      <c r="C3" s="35">
        <v>75.564320991746442</v>
      </c>
      <c r="D3" s="36">
        <v>21.25</v>
      </c>
      <c r="E3" s="37">
        <v>0.72834907542910243</v>
      </c>
      <c r="F3" s="38">
        <v>1.2695150651330689</v>
      </c>
      <c r="G3" s="45"/>
    </row>
    <row r="4" spans="1:7" x14ac:dyDescent="0.3">
      <c r="A4" s="33">
        <v>1110817</v>
      </c>
      <c r="B4" s="33" t="s">
        <v>120</v>
      </c>
      <c r="C4" s="35">
        <v>74.950926572844949</v>
      </c>
      <c r="D4" s="36">
        <v>20.94</v>
      </c>
      <c r="E4" s="37">
        <v>0.68579798921372015</v>
      </c>
      <c r="F4" s="38">
        <v>1.2709185880160958</v>
      </c>
      <c r="G4" s="45"/>
    </row>
    <row r="5" spans="1:7" x14ac:dyDescent="0.3">
      <c r="A5" s="33">
        <v>1110817</v>
      </c>
      <c r="B5" s="33" t="s">
        <v>121</v>
      </c>
      <c r="C5" s="35">
        <v>74.46454702673941</v>
      </c>
      <c r="D5" s="36">
        <v>21.97</v>
      </c>
      <c r="E5" s="37">
        <v>1.6721518566539382</v>
      </c>
      <c r="F5" s="38">
        <v>1.2904084076093649</v>
      </c>
      <c r="G5" s="45"/>
    </row>
    <row r="6" spans="1:7" x14ac:dyDescent="0.3">
      <c r="A6" s="33">
        <v>1110817</v>
      </c>
      <c r="B6" s="33" t="s">
        <v>122</v>
      </c>
      <c r="C6" s="35">
        <v>74.76772453295149</v>
      </c>
      <c r="D6" s="36">
        <v>22.13</v>
      </c>
      <c r="E6" s="37">
        <v>1.7879736298863387</v>
      </c>
      <c r="F6" s="38">
        <v>1.288754204269279</v>
      </c>
      <c r="G6" s="45"/>
    </row>
    <row r="7" spans="1:7" x14ac:dyDescent="0.3">
      <c r="A7" s="33">
        <v>1110817</v>
      </c>
      <c r="B7" s="33" t="s">
        <v>123</v>
      </c>
      <c r="C7" s="35">
        <v>75.110623149349564</v>
      </c>
      <c r="D7" s="36">
        <v>22.23</v>
      </c>
      <c r="E7" s="37">
        <v>0.91532419118637365</v>
      </c>
      <c r="F7" s="38">
        <v>1.2875536480686238</v>
      </c>
      <c r="G7" s="45"/>
    </row>
    <row r="8" spans="1:7" x14ac:dyDescent="0.3">
      <c r="A8" s="33">
        <v>1110817</v>
      </c>
      <c r="B8" s="33" t="s">
        <v>124</v>
      </c>
      <c r="C8" s="35">
        <v>74.889133406688629</v>
      </c>
      <c r="D8" s="36">
        <v>22.09</v>
      </c>
      <c r="E8" s="37">
        <v>1.2999133391107751</v>
      </c>
      <c r="F8" s="38">
        <v>1.2803841152346662</v>
      </c>
      <c r="G8" s="45"/>
    </row>
    <row r="9" spans="1:7" x14ac:dyDescent="0.3">
      <c r="A9" s="33">
        <v>1110817</v>
      </c>
      <c r="B9" s="33" t="s">
        <v>125</v>
      </c>
      <c r="C9" s="35">
        <v>75.461943832966412</v>
      </c>
      <c r="D9" s="36">
        <v>22.3</v>
      </c>
      <c r="E9" s="37">
        <v>0.85747392815782608</v>
      </c>
      <c r="F9" s="38">
        <v>1.3007804682810178</v>
      </c>
      <c r="G9" s="45"/>
    </row>
    <row r="10" spans="1:7" x14ac:dyDescent="0.3">
      <c r="A10" s="33">
        <v>1110817</v>
      </c>
      <c r="B10" s="33" t="s">
        <v>126</v>
      </c>
      <c r="C10" s="35">
        <v>75.814248091475832</v>
      </c>
      <c r="D10" s="36">
        <v>21.14</v>
      </c>
      <c r="E10" s="37">
        <v>1.2903439811589266</v>
      </c>
      <c r="F10" s="38">
        <v>1.2834616795012532</v>
      </c>
      <c r="G10" s="45"/>
    </row>
    <row r="11" spans="1:7" x14ac:dyDescent="0.3">
      <c r="A11" s="33">
        <v>1110817</v>
      </c>
      <c r="B11" s="33" t="s">
        <v>127</v>
      </c>
      <c r="C11" s="35">
        <v>74.565282441732862</v>
      </c>
      <c r="D11" s="36">
        <v>22.98</v>
      </c>
      <c r="E11" s="37">
        <v>0.80061380391636616</v>
      </c>
      <c r="F11" s="38">
        <v>1.3398942713700985</v>
      </c>
      <c r="G11" s="45"/>
    </row>
    <row r="12" spans="1:7" x14ac:dyDescent="0.3">
      <c r="A12" s="33">
        <v>1110817</v>
      </c>
      <c r="B12" s="33" t="s">
        <v>128</v>
      </c>
      <c r="C12" s="35">
        <v>74.886269301012746</v>
      </c>
      <c r="D12" s="36">
        <v>22.94</v>
      </c>
      <c r="E12" s="37">
        <v>1.0426729737833258</v>
      </c>
      <c r="F12" s="38">
        <v>1.3548065747966407</v>
      </c>
      <c r="G12" s="45"/>
    </row>
    <row r="13" spans="1:7" x14ac:dyDescent="0.3">
      <c r="A13" s="33">
        <v>1110906</v>
      </c>
      <c r="B13" s="33" t="s">
        <v>129</v>
      </c>
      <c r="C13" s="35">
        <v>75.855544860092138</v>
      </c>
      <c r="D13" s="36">
        <v>21.1</v>
      </c>
      <c r="E13" s="37">
        <v>0.69630069630036318</v>
      </c>
      <c r="F13" s="38">
        <v>1.2712848939490526</v>
      </c>
      <c r="G13" s="45"/>
    </row>
    <row r="14" spans="1:7" x14ac:dyDescent="0.3">
      <c r="A14" s="33">
        <v>1110906</v>
      </c>
      <c r="B14" s="33" t="s">
        <v>130</v>
      </c>
      <c r="C14" s="35">
        <v>75.242766711960982</v>
      </c>
      <c r="D14" s="36">
        <v>21.15</v>
      </c>
      <c r="E14" s="37">
        <v>0.71623353155741842</v>
      </c>
      <c r="F14" s="38">
        <v>1.2560898816823147</v>
      </c>
      <c r="G14" s="45"/>
    </row>
    <row r="15" spans="1:7" x14ac:dyDescent="0.3">
      <c r="A15" s="33">
        <v>1110906</v>
      </c>
      <c r="B15" s="33" t="s">
        <v>131</v>
      </c>
      <c r="C15" s="35">
        <v>75.780369805818793</v>
      </c>
      <c r="D15" s="36">
        <v>21.14</v>
      </c>
      <c r="E15" s="37">
        <v>0.96691943441845773</v>
      </c>
      <c r="F15" s="38">
        <v>1.2724501292333117</v>
      </c>
      <c r="G15" s="45"/>
    </row>
    <row r="16" spans="1:7" x14ac:dyDescent="0.3">
      <c r="A16" s="33">
        <v>1110906</v>
      </c>
      <c r="B16" s="33" t="s">
        <v>132</v>
      </c>
      <c r="C16" s="35">
        <v>74.19816342826725</v>
      </c>
      <c r="D16" s="36">
        <v>22.23</v>
      </c>
      <c r="E16" s="37">
        <v>1.0103037602031837</v>
      </c>
      <c r="F16" s="38">
        <v>1.3241948363055502</v>
      </c>
      <c r="G16" s="45"/>
    </row>
    <row r="17" spans="1:7" x14ac:dyDescent="0.3">
      <c r="A17" s="33">
        <v>1110906</v>
      </c>
      <c r="B17" s="33" t="s">
        <v>133</v>
      </c>
      <c r="C17" s="35">
        <v>74.921224584563362</v>
      </c>
      <c r="D17" s="36">
        <v>21.84</v>
      </c>
      <c r="E17" s="37">
        <v>0.85515589125879277</v>
      </c>
      <c r="F17" s="38">
        <v>1.2836246641679201</v>
      </c>
      <c r="G17" s="45"/>
    </row>
    <row r="18" spans="1:7" x14ac:dyDescent="0.3">
      <c r="A18" s="33">
        <v>1110906</v>
      </c>
      <c r="B18" s="33" t="s">
        <v>134</v>
      </c>
      <c r="C18" s="35">
        <v>74.305038890767634</v>
      </c>
      <c r="D18" s="36">
        <v>22.03</v>
      </c>
      <c r="E18" s="37">
        <v>0.75205254515575748</v>
      </c>
      <c r="F18" s="38">
        <v>1.3256679066621919</v>
      </c>
      <c r="G18" s="45"/>
    </row>
    <row r="19" spans="1:7" x14ac:dyDescent="0.3">
      <c r="A19" s="33">
        <v>1110906</v>
      </c>
      <c r="B19" s="33" t="s">
        <v>135</v>
      </c>
      <c r="C19" s="35">
        <v>75.315053087685683</v>
      </c>
      <c r="D19" s="36">
        <v>21.94</v>
      </c>
      <c r="E19" s="37">
        <v>1.0968860438753729</v>
      </c>
      <c r="F19" s="38">
        <v>1.2502894188468618</v>
      </c>
      <c r="G19" s="45"/>
    </row>
    <row r="20" spans="1:7" x14ac:dyDescent="0.3">
      <c r="A20" s="33">
        <v>1110906</v>
      </c>
      <c r="B20" s="33" t="s">
        <v>136</v>
      </c>
      <c r="C20" s="35">
        <v>74.831378542711846</v>
      </c>
      <c r="D20" s="36">
        <v>20.2</v>
      </c>
      <c r="E20" s="37">
        <v>1.3998481296840655</v>
      </c>
      <c r="F20" s="38">
        <v>1.2526165398543843</v>
      </c>
      <c r="G20" s="45"/>
    </row>
    <row r="21" spans="1:7" x14ac:dyDescent="0.3">
      <c r="A21" s="33">
        <v>1110906</v>
      </c>
      <c r="B21" s="33" t="s">
        <v>137</v>
      </c>
      <c r="C21" s="35">
        <v>75.034197444366669</v>
      </c>
      <c r="D21" s="36">
        <v>21.98</v>
      </c>
      <c r="E21" s="37">
        <v>1.2367258096429758</v>
      </c>
      <c r="F21" s="38">
        <v>1.2644713575551492</v>
      </c>
      <c r="G21" s="45"/>
    </row>
    <row r="22" spans="1:7" x14ac:dyDescent="0.3">
      <c r="A22" s="33">
        <v>1110906</v>
      </c>
      <c r="B22" s="33" t="s">
        <v>138</v>
      </c>
      <c r="C22" s="35">
        <v>75.194158645867887</v>
      </c>
      <c r="D22" s="36">
        <v>21.74</v>
      </c>
      <c r="E22" s="37">
        <v>0.72645621450242237</v>
      </c>
      <c r="F22" s="38">
        <v>1.2512446067043133</v>
      </c>
      <c r="G22" s="45"/>
    </row>
    <row r="23" spans="1:7" x14ac:dyDescent="0.3">
      <c r="A23" s="33">
        <v>1110913</v>
      </c>
      <c r="B23" s="33" t="s">
        <v>139</v>
      </c>
      <c r="C23" s="35">
        <v>76.022015185172904</v>
      </c>
      <c r="D23" s="36">
        <v>21.79</v>
      </c>
      <c r="E23" s="37">
        <v>0.86613383272557709</v>
      </c>
      <c r="F23" s="38">
        <v>1.2665362554291899</v>
      </c>
      <c r="G23" s="45"/>
    </row>
    <row r="24" spans="1:7" x14ac:dyDescent="0.3">
      <c r="A24" s="33">
        <v>1110913</v>
      </c>
      <c r="B24" s="33" t="s">
        <v>140</v>
      </c>
      <c r="C24" s="35">
        <v>75.910587765692043</v>
      </c>
      <c r="D24" s="44">
        <v>21.63</v>
      </c>
      <c r="E24" s="37">
        <v>1.4766392354658655</v>
      </c>
      <c r="F24" s="38">
        <v>1.2507068489504585</v>
      </c>
      <c r="G24" s="45"/>
    </row>
    <row r="25" spans="1:7" x14ac:dyDescent="0.3">
      <c r="A25" s="33">
        <v>1110913</v>
      </c>
      <c r="B25" s="33" t="s">
        <v>141</v>
      </c>
      <c r="C25" s="35">
        <v>74.479509816840135</v>
      </c>
      <c r="D25" s="44">
        <v>21.76</v>
      </c>
      <c r="E25" s="37">
        <v>0.99936282236139706</v>
      </c>
      <c r="F25" s="38">
        <v>1.330873632889767</v>
      </c>
      <c r="G25" s="45"/>
    </row>
    <row r="26" spans="1:7" x14ac:dyDescent="0.3">
      <c r="A26" s="33">
        <v>1110913</v>
      </c>
      <c r="B26" s="33" t="s">
        <v>142</v>
      </c>
      <c r="C26" s="35">
        <v>75.028252343282503</v>
      </c>
      <c r="D26" s="44">
        <v>21.52</v>
      </c>
      <c r="E26" s="37">
        <v>1.6465784100637937</v>
      </c>
      <c r="F26" s="38">
        <v>1.2298078840656463</v>
      </c>
      <c r="G26" s="45"/>
    </row>
    <row r="27" spans="1:7" x14ac:dyDescent="0.3">
      <c r="A27" s="33">
        <v>1110913</v>
      </c>
      <c r="B27" s="33" t="s">
        <v>143</v>
      </c>
      <c r="C27" s="35">
        <v>74.136049472535518</v>
      </c>
      <c r="D27" s="44">
        <v>22.08</v>
      </c>
      <c r="E27" s="37">
        <v>1.3154441674319433</v>
      </c>
      <c r="F27" s="38">
        <v>1.2963391646548319</v>
      </c>
      <c r="G27" s="45"/>
    </row>
    <row r="28" spans="1:7" x14ac:dyDescent="0.3">
      <c r="A28" s="33">
        <v>1110913</v>
      </c>
      <c r="B28" s="33" t="s">
        <v>144</v>
      </c>
      <c r="C28" s="35">
        <v>75.471698113207566</v>
      </c>
      <c r="D28" s="44">
        <v>21.41</v>
      </c>
      <c r="E28" s="37">
        <v>1.0879299479251257</v>
      </c>
      <c r="F28" s="38">
        <v>1.2512062826528629</v>
      </c>
      <c r="G28" s="45"/>
    </row>
    <row r="29" spans="1:7" x14ac:dyDescent="0.3">
      <c r="A29" s="33">
        <v>1110913</v>
      </c>
      <c r="B29" s="33" t="s">
        <v>145</v>
      </c>
      <c r="C29" s="35">
        <v>73.910002331545726</v>
      </c>
      <c r="D29" s="44">
        <v>22.14</v>
      </c>
      <c r="E29" s="37">
        <v>1.5115432956273243</v>
      </c>
      <c r="F29" s="38">
        <v>1.2956733171235957</v>
      </c>
      <c r="G29" s="45"/>
    </row>
    <row r="30" spans="1:7" x14ac:dyDescent="0.3">
      <c r="A30" s="33">
        <v>1110913</v>
      </c>
      <c r="B30" s="33" t="s">
        <v>146</v>
      </c>
      <c r="C30" s="35">
        <v>74.538245498100252</v>
      </c>
      <c r="D30" s="44">
        <v>22.35</v>
      </c>
      <c r="E30" s="37">
        <v>1.1864519122421531</v>
      </c>
      <c r="F30" s="38">
        <v>1.3712208822071437</v>
      </c>
      <c r="G30" s="45"/>
    </row>
    <row r="31" spans="1:7" x14ac:dyDescent="0.3">
      <c r="A31" s="33">
        <v>1110913</v>
      </c>
      <c r="B31" s="33" t="s">
        <v>147</v>
      </c>
      <c r="C31" s="35">
        <v>75.171594508975787</v>
      </c>
      <c r="D31" s="44">
        <v>21.57</v>
      </c>
      <c r="E31" s="37">
        <v>1.2553551858126357</v>
      </c>
      <c r="F31" s="38">
        <v>1.2737592397042916</v>
      </c>
      <c r="G31" s="45"/>
    </row>
    <row r="32" spans="1:7" x14ac:dyDescent="0.3">
      <c r="A32" s="33">
        <v>1110913</v>
      </c>
      <c r="B32" s="33" t="s">
        <v>148</v>
      </c>
      <c r="C32" s="35">
        <v>74.910726094431809</v>
      </c>
      <c r="D32" s="36">
        <v>21.79</v>
      </c>
      <c r="E32" s="37">
        <v>1.2689507780670775</v>
      </c>
      <c r="F32" s="38">
        <v>1.2928184102632339</v>
      </c>
      <c r="G32" s="45"/>
    </row>
    <row r="33" spans="1:7" x14ac:dyDescent="0.3">
      <c r="A33" s="33">
        <v>1110920</v>
      </c>
      <c r="B33" s="33" t="s">
        <v>149</v>
      </c>
      <c r="C33" s="35">
        <v>74.921869805173174</v>
      </c>
      <c r="D33" s="36">
        <v>22.87</v>
      </c>
      <c r="E33" s="37">
        <v>1.2567324955116936</v>
      </c>
      <c r="F33" s="38">
        <v>0.82636399840661601</v>
      </c>
      <c r="G33" s="45"/>
    </row>
    <row r="34" spans="1:7" x14ac:dyDescent="0.3">
      <c r="A34" s="33">
        <v>1110920</v>
      </c>
      <c r="B34" s="33" t="s">
        <v>150</v>
      </c>
      <c r="C34" s="35">
        <v>74.992518703241956</v>
      </c>
      <c r="D34" s="36">
        <v>21.62</v>
      </c>
      <c r="E34" s="37">
        <v>1.2635078969243643</v>
      </c>
      <c r="F34" s="38">
        <v>0.98477767392171012</v>
      </c>
      <c r="G34" s="45"/>
    </row>
    <row r="35" spans="1:7" x14ac:dyDescent="0.3">
      <c r="A35" s="33">
        <v>1110920</v>
      </c>
      <c r="B35" s="33" t="s">
        <v>151</v>
      </c>
      <c r="C35" s="35">
        <v>74.569624459953488</v>
      </c>
      <c r="D35" s="36">
        <v>22.99</v>
      </c>
      <c r="E35" s="37">
        <v>1.2894649385177266</v>
      </c>
      <c r="F35" s="38">
        <v>1.4797533744374602</v>
      </c>
      <c r="G35" s="45"/>
    </row>
    <row r="36" spans="1:7" x14ac:dyDescent="0.3">
      <c r="A36" s="33">
        <v>1110920</v>
      </c>
      <c r="B36" s="33" t="s">
        <v>152</v>
      </c>
      <c r="C36" s="35">
        <v>75.433756564514965</v>
      </c>
      <c r="D36" s="36">
        <v>21.49</v>
      </c>
      <c r="E36" s="37">
        <v>1.2497507146181344</v>
      </c>
      <c r="F36" s="38">
        <v>1.200891520574987</v>
      </c>
      <c r="G36" s="45"/>
    </row>
    <row r="37" spans="1:7" x14ac:dyDescent="0.3">
      <c r="A37" s="33">
        <v>1110920</v>
      </c>
      <c r="B37" s="33" t="s">
        <v>153</v>
      </c>
      <c r="C37" s="35">
        <v>74.789050561424617</v>
      </c>
      <c r="D37" s="36">
        <v>21.82</v>
      </c>
      <c r="E37" s="37">
        <v>1.2357982858281364</v>
      </c>
      <c r="F37" s="38">
        <v>1.2131311448092128</v>
      </c>
      <c r="G37" s="45"/>
    </row>
    <row r="38" spans="1:7" x14ac:dyDescent="0.3">
      <c r="A38" s="33">
        <v>1110920</v>
      </c>
      <c r="B38" s="33" t="s">
        <v>154</v>
      </c>
      <c r="C38" s="35">
        <v>75.128119800332655</v>
      </c>
      <c r="D38" s="36">
        <v>21.98</v>
      </c>
      <c r="E38" s="37">
        <v>1.2678868552412652</v>
      </c>
      <c r="F38" s="38">
        <v>0.92337330188989808</v>
      </c>
      <c r="G38" s="45"/>
    </row>
    <row r="39" spans="1:7" x14ac:dyDescent="0.3">
      <c r="A39" s="33">
        <v>1110920</v>
      </c>
      <c r="B39" s="33" t="s">
        <v>155</v>
      </c>
      <c r="C39" s="35">
        <v>75.974935004333005</v>
      </c>
      <c r="D39" s="36">
        <v>21.55</v>
      </c>
      <c r="E39" s="37">
        <v>1.2332511165923135</v>
      </c>
      <c r="F39" s="38">
        <v>1.0497990100000538</v>
      </c>
      <c r="G39" s="45"/>
    </row>
    <row r="40" spans="1:7" x14ac:dyDescent="0.3">
      <c r="A40" s="33">
        <v>1110920</v>
      </c>
      <c r="B40" s="33" t="s">
        <v>156</v>
      </c>
      <c r="C40" s="35">
        <v>74.411323896752634</v>
      </c>
      <c r="D40" s="36">
        <v>21.68</v>
      </c>
      <c r="E40" s="37">
        <v>1.3255620316402867</v>
      </c>
      <c r="F40" s="38">
        <v>0.98680931654288384</v>
      </c>
      <c r="G40" s="45"/>
    </row>
    <row r="41" spans="1:7" x14ac:dyDescent="0.3">
      <c r="A41" s="33">
        <v>1110920</v>
      </c>
      <c r="B41" s="33" t="s">
        <v>157</v>
      </c>
      <c r="C41" s="35">
        <v>75.625437223092007</v>
      </c>
      <c r="D41" s="36">
        <v>22.35</v>
      </c>
      <c r="E41" s="37">
        <v>1.2458776108464007</v>
      </c>
      <c r="F41" s="38">
        <v>1.6416821438045495</v>
      </c>
      <c r="G41" s="45"/>
    </row>
    <row r="42" spans="1:7" x14ac:dyDescent="0.3">
      <c r="A42" s="33">
        <v>1110920</v>
      </c>
      <c r="B42" s="33" t="s">
        <v>158</v>
      </c>
      <c r="C42" s="35">
        <v>75.190268869021878</v>
      </c>
      <c r="D42" s="36">
        <v>21.56</v>
      </c>
      <c r="E42" s="37">
        <v>1.2429791618199892</v>
      </c>
      <c r="F42" s="38">
        <v>1.1081251451511336</v>
      </c>
      <c r="G42" s="45"/>
    </row>
    <row r="43" spans="1:7" x14ac:dyDescent="0.3">
      <c r="A43" s="33">
        <v>1110927</v>
      </c>
      <c r="B43" s="33" t="s">
        <v>159</v>
      </c>
      <c r="C43" s="35">
        <v>76.157997549912153</v>
      </c>
      <c r="D43" s="36">
        <v>20.6</v>
      </c>
      <c r="E43" s="37">
        <v>1.2018673641691442</v>
      </c>
      <c r="F43" s="38">
        <v>0.90637450199192471</v>
      </c>
      <c r="G43" s="45"/>
    </row>
    <row r="44" spans="1:7" x14ac:dyDescent="0.3">
      <c r="A44" s="33">
        <v>1110927</v>
      </c>
      <c r="B44" s="33" t="s">
        <v>160</v>
      </c>
      <c r="C44" s="35">
        <v>75.513881473571757</v>
      </c>
      <c r="D44" s="36">
        <v>18.93</v>
      </c>
      <c r="E44" s="37">
        <v>1.2413240790176896</v>
      </c>
      <c r="F44" s="38">
        <v>0.99563784089813956</v>
      </c>
      <c r="G44" s="45"/>
    </row>
    <row r="45" spans="1:7" x14ac:dyDescent="0.3">
      <c r="A45" s="33">
        <v>1110927</v>
      </c>
      <c r="B45" s="33" t="s">
        <v>161</v>
      </c>
      <c r="C45" s="35">
        <v>73.846872705426932</v>
      </c>
      <c r="D45" s="36">
        <v>22.34</v>
      </c>
      <c r="E45" s="37">
        <v>1.3183365596422238</v>
      </c>
      <c r="F45" s="38">
        <v>1.0406310068267639</v>
      </c>
      <c r="G45" s="45"/>
    </row>
    <row r="46" spans="1:7" x14ac:dyDescent="0.3">
      <c r="A46" s="33">
        <v>1110927</v>
      </c>
      <c r="B46" s="33" t="s">
        <v>162</v>
      </c>
      <c r="C46" s="35">
        <v>73.772665495408773</v>
      </c>
      <c r="D46" s="36">
        <v>22.35</v>
      </c>
      <c r="E46" s="37">
        <v>1.3259521994231824</v>
      </c>
      <c r="F46" s="38">
        <v>1.3879181228159707</v>
      </c>
      <c r="G46" s="45"/>
    </row>
    <row r="47" spans="1:7" x14ac:dyDescent="0.3">
      <c r="A47" s="33">
        <v>1110927</v>
      </c>
      <c r="B47" s="33" t="s">
        <v>163</v>
      </c>
      <c r="C47" s="35">
        <v>75.17177589852011</v>
      </c>
      <c r="D47" s="36">
        <v>21.65</v>
      </c>
      <c r="E47" s="37">
        <v>1.2255549682876041</v>
      </c>
      <c r="F47" s="38">
        <v>1.4386347851972336</v>
      </c>
      <c r="G47" s="4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activeCell="H17" sqref="H17"/>
    </sheetView>
  </sheetViews>
  <sheetFormatPr defaultRowHeight="16.2" x14ac:dyDescent="0.3"/>
  <cols>
    <col min="4" max="4" width="18.33203125" bestFit="1" customWidth="1"/>
    <col min="5" max="5" width="11.88671875" bestFit="1" customWidth="1"/>
    <col min="6" max="6" width="11.77734375" bestFit="1" customWidth="1"/>
    <col min="7" max="7" width="11.88671875" bestFit="1" customWidth="1"/>
    <col min="12" max="15" width="11.88671875" bestFit="1" customWidth="1"/>
    <col min="20" max="23" width="11.88671875" bestFit="1" customWidth="1"/>
  </cols>
  <sheetData>
    <row r="1" spans="1:23" ht="18" x14ac:dyDescent="0.3">
      <c r="A1" s="14"/>
      <c r="B1" s="23" t="s">
        <v>14</v>
      </c>
      <c r="C1" s="23" t="s">
        <v>79</v>
      </c>
      <c r="D1" s="22" t="s">
        <v>16</v>
      </c>
      <c r="E1" s="22" t="s">
        <v>79</v>
      </c>
      <c r="F1" s="24" t="s">
        <v>5</v>
      </c>
      <c r="G1" s="24" t="s">
        <v>79</v>
      </c>
      <c r="I1" s="14"/>
      <c r="J1" s="23" t="s">
        <v>14</v>
      </c>
      <c r="K1" s="23" t="s">
        <v>79</v>
      </c>
      <c r="L1" s="22" t="s">
        <v>16</v>
      </c>
      <c r="M1" s="22" t="s">
        <v>79</v>
      </c>
      <c r="N1" s="24" t="s">
        <v>5</v>
      </c>
      <c r="O1" s="24" t="s">
        <v>79</v>
      </c>
      <c r="Q1" s="14"/>
      <c r="R1" s="23" t="s">
        <v>14</v>
      </c>
      <c r="S1" s="23" t="s">
        <v>79</v>
      </c>
      <c r="T1" s="22" t="s">
        <v>16</v>
      </c>
      <c r="U1" s="22" t="s">
        <v>79</v>
      </c>
      <c r="V1" s="24" t="s">
        <v>5</v>
      </c>
      <c r="W1" s="24" t="s">
        <v>79</v>
      </c>
    </row>
    <row r="2" spans="1:23" ht="18" x14ac:dyDescent="0.3">
      <c r="A2" s="16" t="s">
        <v>66</v>
      </c>
      <c r="B2" s="14">
        <v>75.564320991746442</v>
      </c>
      <c r="C2" s="28">
        <f>AVERAGE(B2:B4)</f>
        <v>75.456930808227852</v>
      </c>
      <c r="D2" s="15">
        <v>1.269515065133069E-2</v>
      </c>
      <c r="E2" s="25">
        <f>AVERAGE(D2:D4)</f>
        <v>1.2705728490327391E-2</v>
      </c>
      <c r="F2" s="15">
        <v>7.2834907542910238E-3</v>
      </c>
      <c r="G2" s="25">
        <f>AVERAGE(F2:F4)</f>
        <v>7.03482586981062E-3</v>
      </c>
      <c r="I2" s="17" t="s">
        <v>38</v>
      </c>
      <c r="J2" s="14">
        <v>75.242766711960982</v>
      </c>
      <c r="K2" s="28">
        <f>AVERAGE(J2:J4)</f>
        <v>75.395550567435691</v>
      </c>
      <c r="L2" s="15">
        <v>1.2560898816823148E-2</v>
      </c>
      <c r="M2" s="25">
        <f>AVERAGE(L2:L4)</f>
        <v>0.42731958562760286</v>
      </c>
      <c r="N2" s="15">
        <v>7.5205254515575753E-3</v>
      </c>
      <c r="O2" s="25">
        <f>AVERAGE(N2:N4)</f>
        <v>0.28084862072847644</v>
      </c>
      <c r="Q2" s="18" t="s">
        <v>88</v>
      </c>
      <c r="R2" s="14">
        <v>75.910587765692043</v>
      </c>
      <c r="S2" s="28">
        <f>AVERAGE(R2:R4)</f>
        <v>75.732235038645612</v>
      </c>
      <c r="T2" s="15">
        <v>1.2507068489504586E-2</v>
      </c>
      <c r="U2" s="25">
        <f>AVERAGE(T2:T4)</f>
        <v>0.82742042929997128</v>
      </c>
      <c r="V2" s="15">
        <v>1.0879299479251257E-2</v>
      </c>
      <c r="W2" s="25">
        <f>AVERAGE(V2:V4)</f>
        <v>0.61354236778702465</v>
      </c>
    </row>
    <row r="3" spans="1:23" ht="18" x14ac:dyDescent="0.3">
      <c r="A3" s="16" t="s">
        <v>67</v>
      </c>
      <c r="B3" s="14">
        <v>74.950926572844949</v>
      </c>
      <c r="C3" s="29"/>
      <c r="D3" s="15">
        <v>1.2709185880160958E-2</v>
      </c>
      <c r="E3" s="26"/>
      <c r="F3" s="15">
        <v>6.8579798921372019E-3</v>
      </c>
      <c r="G3" s="26"/>
      <c r="I3" s="17" t="s">
        <v>48</v>
      </c>
      <c r="J3" s="14">
        <v>76.022015185172904</v>
      </c>
      <c r="K3" s="29"/>
      <c r="L3" s="15">
        <v>1.2665362554291898E-2</v>
      </c>
      <c r="M3" s="26"/>
      <c r="N3" s="15">
        <v>8.6613383272557704E-3</v>
      </c>
      <c r="O3" s="26"/>
      <c r="Q3" s="18" t="s">
        <v>89</v>
      </c>
      <c r="R3" s="14">
        <f>'水分&amp;灰分'!G51</f>
        <v>75.128119800332655</v>
      </c>
      <c r="S3" s="29"/>
      <c r="T3" s="15">
        <f>'水分&amp;灰分'!I51</f>
        <v>1.2678868552412652</v>
      </c>
      <c r="U3" s="26"/>
      <c r="V3" s="15">
        <f>粗脂肪!G54</f>
        <v>0.92337330188989808</v>
      </c>
      <c r="W3" s="26"/>
    </row>
    <row r="4" spans="1:23" ht="18" x14ac:dyDescent="0.3">
      <c r="A4" s="16" t="s">
        <v>68</v>
      </c>
      <c r="B4" s="14">
        <v>75.855544860092138</v>
      </c>
      <c r="C4" s="30"/>
      <c r="D4" s="15">
        <v>1.2712848939490526E-2</v>
      </c>
      <c r="E4" s="27"/>
      <c r="F4" s="15">
        <v>6.9630069630036316E-3</v>
      </c>
      <c r="G4" s="27"/>
      <c r="I4" s="17" t="s">
        <v>80</v>
      </c>
      <c r="J4" s="14">
        <f>'水分&amp;灰分'!G46</f>
        <v>74.921869805173174</v>
      </c>
      <c r="K4" s="30"/>
      <c r="L4" s="15">
        <f>'水分&amp;灰分'!I46</f>
        <v>1.2567324955116936</v>
      </c>
      <c r="M4" s="27"/>
      <c r="N4" s="15">
        <f>粗脂肪!G49</f>
        <v>0.82636399840661601</v>
      </c>
      <c r="O4" s="27"/>
      <c r="Q4" s="18" t="s">
        <v>90</v>
      </c>
      <c r="R4" s="19">
        <f>'水分&amp;灰分'!G60</f>
        <v>76.157997549912153</v>
      </c>
      <c r="S4" s="30"/>
      <c r="T4" s="15">
        <f>'水分&amp;灰分'!I60</f>
        <v>1.2018673641691442</v>
      </c>
      <c r="U4" s="27"/>
      <c r="V4" s="15">
        <f>粗脂肪!G64</f>
        <v>0.90637450199192471</v>
      </c>
      <c r="W4" s="27"/>
    </row>
    <row r="5" spans="1:23" ht="18" x14ac:dyDescent="0.3">
      <c r="A5" s="16" t="s">
        <v>69</v>
      </c>
      <c r="B5" s="14">
        <v>74.46454702673941</v>
      </c>
      <c r="C5" s="28">
        <f>AVERAGE(B5:B7)</f>
        <v>75.004213788503236</v>
      </c>
      <c r="D5" s="15">
        <v>1.290408407609365E-2</v>
      </c>
      <c r="E5" s="25">
        <f>AVERAGE(D5:D7)</f>
        <v>1.2838709137039854E-2</v>
      </c>
      <c r="F5" s="15">
        <v>1.6721518566539383E-2</v>
      </c>
      <c r="G5" s="25">
        <f t="shared" ref="G5" si="0">AVERAGE(F5:F7)</f>
        <v>1.3921196726992317E-2</v>
      </c>
      <c r="I5" s="17" t="s">
        <v>40</v>
      </c>
      <c r="J5" s="19">
        <v>74.198163428267307</v>
      </c>
      <c r="K5" s="28">
        <f>AVERAGE(J5:J7)</f>
        <v>74.55673064944979</v>
      </c>
      <c r="L5" s="15">
        <v>1.3241948363055502E-2</v>
      </c>
      <c r="M5" s="25">
        <f>AVERAGE(L5:L7)</f>
        <v>0.43001952720543918</v>
      </c>
      <c r="N5" s="15">
        <v>1.0968860438753728E-2</v>
      </c>
      <c r="O5" s="25">
        <f>AVERAGE(N5:N7)</f>
        <v>1.1845084264470793E-2</v>
      </c>
      <c r="Q5" s="18" t="s">
        <v>34</v>
      </c>
      <c r="R5" s="14">
        <v>75.028252343282503</v>
      </c>
      <c r="S5" s="28">
        <f>AVERAGE(R5:R7)</f>
        <v>75.505689607062422</v>
      </c>
      <c r="T5" s="15">
        <v>1.2298078840656463E-2</v>
      </c>
      <c r="U5" s="25">
        <f>AVERAGE(T5:T7)</f>
        <v>0.82895775815021988</v>
      </c>
      <c r="V5" s="15">
        <v>1.5115432956273243E-2</v>
      </c>
      <c r="W5" s="25">
        <f>AVERAGE(V5:V7)</f>
        <v>0.68685076128482214</v>
      </c>
    </row>
    <row r="6" spans="1:23" ht="18" x14ac:dyDescent="0.3">
      <c r="A6" s="16" t="s">
        <v>70</v>
      </c>
      <c r="B6" s="14">
        <v>74.76772453295149</v>
      </c>
      <c r="C6" s="29"/>
      <c r="D6" s="15">
        <v>1.288754204269279E-2</v>
      </c>
      <c r="E6" s="26"/>
      <c r="F6" s="15">
        <v>1.7879736298863386E-2</v>
      </c>
      <c r="G6" s="26"/>
      <c r="I6" s="17" t="s">
        <v>50</v>
      </c>
      <c r="J6" s="14">
        <v>74.479509816840135</v>
      </c>
      <c r="K6" s="29"/>
      <c r="L6" s="15">
        <v>1.3308736328897669E-2</v>
      </c>
      <c r="M6" s="26"/>
      <c r="N6" s="15">
        <v>1.4766392354658655E-2</v>
      </c>
      <c r="O6" s="26"/>
      <c r="Q6" s="18" t="s">
        <v>91</v>
      </c>
      <c r="R6" s="14">
        <f>'水分&amp;灰分'!G52</f>
        <v>75.974935004333005</v>
      </c>
      <c r="S6" s="29"/>
      <c r="T6" s="15">
        <f>'水分&amp;灰分'!I52</f>
        <v>1.2332511165923135</v>
      </c>
      <c r="U6" s="26"/>
      <c r="V6" s="15">
        <f>粗脂肪!G55</f>
        <v>1.0497990100000538</v>
      </c>
      <c r="W6" s="26"/>
    </row>
    <row r="7" spans="1:23" ht="18" x14ac:dyDescent="0.3">
      <c r="A7" s="16" t="s">
        <v>71</v>
      </c>
      <c r="B7" s="14">
        <v>75.780369805818793</v>
      </c>
      <c r="C7" s="30"/>
      <c r="D7" s="15">
        <v>1.2724501292333117E-2</v>
      </c>
      <c r="E7" s="27"/>
      <c r="F7" s="15">
        <v>7.1623353155741837E-3</v>
      </c>
      <c r="G7" s="27"/>
      <c r="I7" s="17" t="s">
        <v>81</v>
      </c>
      <c r="J7" s="14">
        <f>'水分&amp;灰分'!G47</f>
        <v>74.992518703241956</v>
      </c>
      <c r="K7" s="30"/>
      <c r="L7" s="15">
        <f>'水分&amp;灰分'!I47</f>
        <v>1.2635078969243643</v>
      </c>
      <c r="M7" s="27"/>
      <c r="N7" s="15">
        <v>9.7999999999999997E-3</v>
      </c>
      <c r="O7" s="27"/>
      <c r="Q7" s="18" t="s">
        <v>92</v>
      </c>
      <c r="R7" s="19">
        <f>'水分&amp;灰分'!G61</f>
        <v>75.513881473571757</v>
      </c>
      <c r="S7" s="30"/>
      <c r="T7" s="15">
        <f>'水分&amp;灰分'!I61</f>
        <v>1.2413240790176896</v>
      </c>
      <c r="U7" s="27"/>
      <c r="V7" s="15">
        <f>粗脂肪!G65</f>
        <v>0.99563784089813956</v>
      </c>
      <c r="W7" s="27"/>
    </row>
    <row r="8" spans="1:23" ht="18" x14ac:dyDescent="0.3">
      <c r="A8" s="16" t="s">
        <v>22</v>
      </c>
      <c r="B8" s="14">
        <v>75.110623149349564</v>
      </c>
      <c r="C8" s="28">
        <f t="shared" ref="C8" si="1">AVERAGE(B8:B10)</f>
        <v>74.973660380200513</v>
      </c>
      <c r="D8" s="15">
        <v>1.2875536480686237E-2</v>
      </c>
      <c r="E8" s="25">
        <f t="shared" ref="E8" si="2">AVERAGE(D8:D10)</f>
        <v>1.2838541424904032E-2</v>
      </c>
      <c r="F8" s="15">
        <v>9.1532419118637368E-3</v>
      </c>
      <c r="G8" s="25">
        <f t="shared" ref="G8" si="3">AVERAGE(F8:F10)</f>
        <v>1.0607189882385355E-2</v>
      </c>
      <c r="I8" s="17" t="s">
        <v>42</v>
      </c>
      <c r="J8" s="14">
        <v>74.305038890767634</v>
      </c>
      <c r="K8" s="28">
        <f>AVERAGE(J8:J10)</f>
        <v>74.336904274418885</v>
      </c>
      <c r="L8" s="15">
        <v>1.3256679066621918E-2</v>
      </c>
      <c r="M8" s="25">
        <f>AVERAGE(L8:L10)</f>
        <v>0.43856166974363231</v>
      </c>
      <c r="N8" s="15">
        <v>1.3998481296840655E-2</v>
      </c>
      <c r="O8" s="25">
        <f>AVERAGE(N8:N10)</f>
        <v>0.50124849465263832</v>
      </c>
      <c r="Q8" s="18" t="s">
        <v>35</v>
      </c>
      <c r="R8" s="14">
        <v>75.471698113207566</v>
      </c>
      <c r="S8" s="28">
        <f>AVERAGE(R8:R10)</f>
        <v>74.576631571795716</v>
      </c>
      <c r="T8" s="15">
        <v>1.2512062826528629E-2</v>
      </c>
      <c r="U8" s="25">
        <f>AVERAGE(T8:T10)</f>
        <v>0.8854702180363464</v>
      </c>
      <c r="V8" s="15">
        <v>1.186451912242153E-2</v>
      </c>
      <c r="W8" s="25">
        <f>AVERAGE(V8:V10)</f>
        <v>0.67976828083068985</v>
      </c>
    </row>
    <row r="9" spans="1:23" ht="18" x14ac:dyDescent="0.3">
      <c r="A9" s="16" t="s">
        <v>72</v>
      </c>
      <c r="B9" s="14">
        <v>74.889133406688629</v>
      </c>
      <c r="C9" s="29"/>
      <c r="D9" s="15">
        <v>1.2803841152346663E-2</v>
      </c>
      <c r="E9" s="26"/>
      <c r="F9" s="15">
        <v>1.2999133391107752E-2</v>
      </c>
      <c r="G9" s="26"/>
      <c r="I9" s="17" t="s">
        <v>53</v>
      </c>
      <c r="J9" s="14">
        <v>74.136049472535518</v>
      </c>
      <c r="K9" s="29"/>
      <c r="L9" s="15">
        <v>1.296339164654832E-2</v>
      </c>
      <c r="M9" s="26"/>
      <c r="N9" s="15">
        <v>9.9936282236139703E-3</v>
      </c>
      <c r="O9" s="26"/>
      <c r="Q9" s="18" t="s">
        <v>93</v>
      </c>
      <c r="R9" s="14">
        <f>'水分&amp;灰分'!G53</f>
        <v>74.411323896752634</v>
      </c>
      <c r="S9" s="29"/>
      <c r="T9" s="15">
        <f>'水分&amp;灰分'!I53</f>
        <v>1.3255620316402867</v>
      </c>
      <c r="U9" s="26"/>
      <c r="V9" s="15">
        <f>粗脂肪!G56</f>
        <v>0.98680931654288384</v>
      </c>
      <c r="W9" s="26"/>
    </row>
    <row r="10" spans="1:23" ht="18" x14ac:dyDescent="0.3">
      <c r="A10" s="16" t="s">
        <v>73</v>
      </c>
      <c r="B10" s="14">
        <v>74.921224584563362</v>
      </c>
      <c r="C10" s="30"/>
      <c r="D10" s="15">
        <v>1.2836246641679202E-2</v>
      </c>
      <c r="E10" s="27"/>
      <c r="F10" s="15">
        <v>9.6691943441845774E-3</v>
      </c>
      <c r="G10" s="27"/>
      <c r="I10" s="17" t="s">
        <v>82</v>
      </c>
      <c r="J10" s="14">
        <f>'水分&amp;灰分'!G48</f>
        <v>74.569624459953488</v>
      </c>
      <c r="K10" s="30"/>
      <c r="L10" s="15">
        <f>'水分&amp;灰分'!I48</f>
        <v>1.2894649385177266</v>
      </c>
      <c r="M10" s="27"/>
      <c r="N10" s="15">
        <f>粗脂肪!G51</f>
        <v>1.4797533744374602</v>
      </c>
      <c r="O10" s="27"/>
      <c r="Q10" s="18" t="s">
        <v>94</v>
      </c>
      <c r="R10" s="19">
        <f>'水分&amp;灰分'!G62</f>
        <v>73.846872705426932</v>
      </c>
      <c r="S10" s="30"/>
      <c r="T10" s="15">
        <f>'水分&amp;灰分'!I62</f>
        <v>1.3183365596422238</v>
      </c>
      <c r="U10" s="27"/>
      <c r="V10" s="15">
        <f>粗脂肪!G66</f>
        <v>1.0406310068267639</v>
      </c>
      <c r="W10" s="27"/>
    </row>
    <row r="11" spans="1:23" ht="18" x14ac:dyDescent="0.3">
      <c r="A11" s="16" t="s">
        <v>24</v>
      </c>
      <c r="B11" s="14">
        <v>75.461943832966412</v>
      </c>
      <c r="C11" s="28">
        <f t="shared" ref="C11" si="4">AVERAGE(B11:B13)</f>
        <v>75.530415004042638</v>
      </c>
      <c r="D11" s="15">
        <v>1.3007804682810178E-2</v>
      </c>
      <c r="E11" s="25">
        <f t="shared" ref="E11" si="5">AVERAGE(D11:D13)</f>
        <v>1.2781771888763775E-2</v>
      </c>
      <c r="F11" s="15">
        <v>8.5747392815782603E-3</v>
      </c>
      <c r="G11" s="25">
        <f t="shared" ref="G11" si="6">AVERAGE(F11:F13)</f>
        <v>1.0527072231733122E-2</v>
      </c>
      <c r="I11" s="17" t="s">
        <v>43</v>
      </c>
      <c r="J11" s="14">
        <v>74.831378542711846</v>
      </c>
      <c r="K11" s="28">
        <f>AVERAGE(J11:J13)</f>
        <v>74.725045812924179</v>
      </c>
      <c r="L11" s="15">
        <v>1.2526165398543843E-2</v>
      </c>
      <c r="M11" s="25">
        <f>AVERAGE(L11:L13)</f>
        <v>0.425077871062638</v>
      </c>
      <c r="N11" s="15">
        <v>1.2367258096429759E-2</v>
      </c>
      <c r="O11" s="25">
        <f>AVERAGE(N11:N13)</f>
        <v>1.3611014065689231E-2</v>
      </c>
      <c r="Q11" s="18" t="s">
        <v>95</v>
      </c>
      <c r="R11" s="14">
        <v>74.538245498100252</v>
      </c>
      <c r="S11" s="28">
        <f>AVERAGE(R11:R13)</f>
        <v>74.645449405533682</v>
      </c>
      <c r="T11" s="15">
        <v>1.3712208822071437E-2</v>
      </c>
      <c r="U11" s="25">
        <f>AVERAGE(T11:T13)</f>
        <v>0.86184733969721827</v>
      </c>
      <c r="V11" s="15">
        <v>1.2553551858126358E-2</v>
      </c>
      <c r="W11" s="25">
        <f>AVERAGE(V11:V13)</f>
        <v>1.0140512728262154</v>
      </c>
    </row>
    <row r="12" spans="1:23" ht="18" x14ac:dyDescent="0.3">
      <c r="A12" s="16" t="s">
        <v>74</v>
      </c>
      <c r="B12" s="14">
        <v>75.814248091475832</v>
      </c>
      <c r="C12" s="29"/>
      <c r="D12" s="15">
        <v>1.2834616795012532E-2</v>
      </c>
      <c r="E12" s="26"/>
      <c r="F12" s="15">
        <v>1.2903439811589265E-2</v>
      </c>
      <c r="G12" s="26"/>
      <c r="I12" s="17" t="s">
        <v>56</v>
      </c>
      <c r="J12" s="14">
        <v>73.910002331545726</v>
      </c>
      <c r="K12" s="29"/>
      <c r="L12" s="15">
        <v>1.2956733171235956E-2</v>
      </c>
      <c r="M12" s="26"/>
      <c r="N12" s="15">
        <v>1.6465784100637936E-2</v>
      </c>
      <c r="O12" s="26"/>
      <c r="Q12" s="18" t="s">
        <v>96</v>
      </c>
      <c r="R12" s="14">
        <f>'水分&amp;灰分'!G54</f>
        <v>75.625437223092007</v>
      </c>
      <c r="S12" s="29"/>
      <c r="T12" s="15">
        <f>'水分&amp;灰分'!I54</f>
        <v>1.2458776108464007</v>
      </c>
      <c r="U12" s="26"/>
      <c r="V12" s="15">
        <f>粗脂肪!G57</f>
        <v>1.6416821438045495</v>
      </c>
      <c r="W12" s="26"/>
    </row>
    <row r="13" spans="1:23" ht="18" x14ac:dyDescent="0.3">
      <c r="A13" s="16" t="s">
        <v>75</v>
      </c>
      <c r="B13" s="14">
        <v>75.315053087685683</v>
      </c>
      <c r="C13" s="30"/>
      <c r="D13" s="15">
        <v>1.2502894188468618E-2</v>
      </c>
      <c r="E13" s="27"/>
      <c r="F13" s="15">
        <v>1.0103037602031836E-2</v>
      </c>
      <c r="G13" s="27"/>
      <c r="I13" s="17" t="s">
        <v>83</v>
      </c>
      <c r="J13" s="14">
        <f>'水分&amp;灰分'!G49</f>
        <v>75.433756564514965</v>
      </c>
      <c r="K13" s="30"/>
      <c r="L13" s="15">
        <f>'水分&amp;灰分'!I49</f>
        <v>1.2497507146181344</v>
      </c>
      <c r="M13" s="27"/>
      <c r="N13" s="15">
        <v>1.2E-2</v>
      </c>
      <c r="O13" s="27"/>
      <c r="Q13" s="18" t="s">
        <v>97</v>
      </c>
      <c r="R13" s="19">
        <f>'水分&amp;灰分'!G63</f>
        <v>73.772665495408773</v>
      </c>
      <c r="S13" s="30"/>
      <c r="T13" s="15">
        <f>'水分&amp;灰分'!I63</f>
        <v>1.3259521994231824</v>
      </c>
      <c r="U13" s="27"/>
      <c r="V13" s="15">
        <f>粗脂肪!G67</f>
        <v>1.3879181228159707</v>
      </c>
      <c r="W13" s="27"/>
    </row>
    <row r="14" spans="1:23" ht="18" x14ac:dyDescent="0.3">
      <c r="A14" s="16" t="s">
        <v>76</v>
      </c>
      <c r="B14" s="14">
        <v>74.565282441732862</v>
      </c>
      <c r="C14" s="28">
        <f t="shared" ref="C14" si="7">AVERAGE(B14:B16)</f>
        <v>74.828583062370754</v>
      </c>
      <c r="D14" s="15">
        <v>1.3398942713700984E-2</v>
      </c>
      <c r="E14" s="25">
        <f t="shared" ref="E14" si="8">AVERAGE(D14:D16)</f>
        <v>1.3197240679072962E-2</v>
      </c>
      <c r="F14" s="15">
        <v>8.0061380391636613E-3</v>
      </c>
      <c r="G14" s="25">
        <f t="shared" ref="G14" si="9">AVERAGE(F14:F16)</f>
        <v>8.9948088965282821E-3</v>
      </c>
      <c r="I14" s="17" t="s">
        <v>86</v>
      </c>
      <c r="J14" s="14">
        <v>75.194158645867887</v>
      </c>
      <c r="K14" s="28">
        <f>AVERAGE(J14:J16)</f>
        <v>75.051601238756106</v>
      </c>
      <c r="L14" s="15">
        <v>1.2512446067043131E-2</v>
      </c>
      <c r="M14" s="25">
        <f>AVERAGE(L14:L16)</f>
        <v>0.42034944143074088</v>
      </c>
      <c r="N14" s="15">
        <v>7.264562145024224E-3</v>
      </c>
      <c r="O14" s="25">
        <f>AVERAGE(N14:N16)</f>
        <v>0.4111833828761855</v>
      </c>
      <c r="Q14" s="18" t="s">
        <v>36</v>
      </c>
      <c r="R14" s="14">
        <v>74.910726094431809</v>
      </c>
      <c r="S14" s="28">
        <f>AVERAGE(R14:R16)</f>
        <v>75.090923620657932</v>
      </c>
      <c r="T14" s="15">
        <v>1.2928184102632339E-2</v>
      </c>
      <c r="U14" s="25">
        <f>AVERAGE(T14:T16)</f>
        <v>0.82715410473674178</v>
      </c>
      <c r="V14" s="15">
        <v>1.2689507780670774E-2</v>
      </c>
      <c r="W14" s="25">
        <f>AVERAGE(V14:V16)</f>
        <v>0.85314981270967927</v>
      </c>
    </row>
    <row r="15" spans="1:23" ht="18" x14ac:dyDescent="0.3">
      <c r="A15" s="16" t="s">
        <v>77</v>
      </c>
      <c r="B15" s="14">
        <v>74.886269301012746</v>
      </c>
      <c r="C15" s="29"/>
      <c r="D15" s="15">
        <v>1.3548065747966407E-2</v>
      </c>
      <c r="E15" s="26"/>
      <c r="F15" s="15">
        <v>1.0426729737833259E-2</v>
      </c>
      <c r="G15" s="26"/>
      <c r="I15" s="17" t="s">
        <v>59</v>
      </c>
      <c r="J15" s="14">
        <v>75.171594508975787</v>
      </c>
      <c r="K15" s="29"/>
      <c r="L15" s="15">
        <v>1.2737592397042917E-2</v>
      </c>
      <c r="M15" s="26"/>
      <c r="N15" s="15">
        <v>1.3154441674319433E-2</v>
      </c>
      <c r="O15" s="26"/>
      <c r="Q15" s="18" t="s">
        <v>84</v>
      </c>
      <c r="R15" s="14">
        <f>'水分&amp;灰分'!G55</f>
        <v>75.190268869021878</v>
      </c>
      <c r="S15" s="29"/>
      <c r="T15" s="15">
        <f>'水分&amp;灰分'!I55</f>
        <v>1.2429791618199892</v>
      </c>
      <c r="U15" s="26"/>
      <c r="V15" s="15">
        <f>粗脂肪!G58</f>
        <v>1.1081251451511336</v>
      </c>
      <c r="W15" s="26"/>
    </row>
    <row r="16" spans="1:23" ht="18" x14ac:dyDescent="0.3">
      <c r="A16" s="16" t="s">
        <v>78</v>
      </c>
      <c r="B16" s="14">
        <v>75.034197444366669</v>
      </c>
      <c r="C16" s="30"/>
      <c r="D16" s="15">
        <v>1.2644713575551492E-2</v>
      </c>
      <c r="E16" s="27"/>
      <c r="F16" s="15">
        <v>8.5515589125879279E-3</v>
      </c>
      <c r="G16" s="27"/>
      <c r="I16" s="17" t="s">
        <v>87</v>
      </c>
      <c r="J16" s="14">
        <f>'水分&amp;灰分'!G50</f>
        <v>74.789050561424617</v>
      </c>
      <c r="K16" s="30"/>
      <c r="L16" s="15">
        <f>'水分&amp;灰分'!I50</f>
        <v>1.2357982858281364</v>
      </c>
      <c r="M16" s="27"/>
      <c r="N16" s="15">
        <f>粗脂肪!G53</f>
        <v>1.2131311448092128</v>
      </c>
      <c r="O16" s="27"/>
      <c r="Q16" s="18" t="s">
        <v>85</v>
      </c>
      <c r="R16" s="19">
        <f>'水分&amp;灰分'!G64</f>
        <v>75.17177589852011</v>
      </c>
      <c r="S16" s="30"/>
      <c r="T16" s="15">
        <f>'水分&amp;灰分'!I64</f>
        <v>1.2255549682876041</v>
      </c>
      <c r="U16" s="27"/>
      <c r="V16" s="15">
        <f>粗脂肪!G68</f>
        <v>1.4386347851972336</v>
      </c>
      <c r="W16" s="27"/>
    </row>
    <row r="17" spans="13:22" ht="18" x14ac:dyDescent="0.3">
      <c r="N17" s="21"/>
      <c r="V17" s="21"/>
    </row>
    <row r="20" spans="13:22" x14ac:dyDescent="0.3">
      <c r="M20" s="20"/>
    </row>
    <row r="22" spans="13:22" x14ac:dyDescent="0.3">
      <c r="M22" s="20"/>
    </row>
  </sheetData>
  <mergeCells count="45">
    <mergeCell ref="G5:G7"/>
    <mergeCell ref="G8:G10"/>
    <mergeCell ref="G11:G13"/>
    <mergeCell ref="G14:G16"/>
    <mergeCell ref="C2:C4"/>
    <mergeCell ref="E2:E4"/>
    <mergeCell ref="G2:G4"/>
    <mergeCell ref="C5:C7"/>
    <mergeCell ref="C8:C10"/>
    <mergeCell ref="C11:C13"/>
    <mergeCell ref="C14:C16"/>
    <mergeCell ref="E5:E7"/>
    <mergeCell ref="E8:E10"/>
    <mergeCell ref="E11:E13"/>
    <mergeCell ref="E14:E16"/>
    <mergeCell ref="K2:K4"/>
    <mergeCell ref="M2:M4"/>
    <mergeCell ref="O2:O4"/>
    <mergeCell ref="K5:K7"/>
    <mergeCell ref="M5:M7"/>
    <mergeCell ref="O5:O7"/>
    <mergeCell ref="K8:K10"/>
    <mergeCell ref="M8:M10"/>
    <mergeCell ref="O8:O10"/>
    <mergeCell ref="K11:K13"/>
    <mergeCell ref="M11:M13"/>
    <mergeCell ref="O11:O13"/>
    <mergeCell ref="S2:S4"/>
    <mergeCell ref="U2:U4"/>
    <mergeCell ref="W2:W4"/>
    <mergeCell ref="S5:S7"/>
    <mergeCell ref="U5:U7"/>
    <mergeCell ref="W5:W7"/>
    <mergeCell ref="S14:S16"/>
    <mergeCell ref="U14:U16"/>
    <mergeCell ref="W14:W16"/>
    <mergeCell ref="K14:K16"/>
    <mergeCell ref="M14:M16"/>
    <mergeCell ref="O14:O16"/>
    <mergeCell ref="U8:U10"/>
    <mergeCell ref="W8:W10"/>
    <mergeCell ref="S11:S13"/>
    <mergeCell ref="U11:U13"/>
    <mergeCell ref="W11:W13"/>
    <mergeCell ref="S8:S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水分&amp;灰分</vt:lpstr>
      <vt:lpstr>粗脂肪</vt:lpstr>
      <vt:lpstr>依分析日期彙整之總表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yang1572</dc:creator>
  <cp:lastModifiedBy>user</cp:lastModifiedBy>
  <dcterms:created xsi:type="dcterms:W3CDTF">2020-11-23T05:25:00Z</dcterms:created>
  <dcterms:modified xsi:type="dcterms:W3CDTF">2022-09-30T04:29:22Z</dcterms:modified>
</cp:coreProperties>
</file>